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hilal\Downloads\"/>
    </mc:Choice>
  </mc:AlternateContent>
  <xr:revisionPtr revIDLastSave="0" documentId="13_ncr:1_{90022B35-B5BA-4CDD-A6A5-BFAAADC8262E}" xr6:coauthVersionLast="47" xr6:coauthVersionMax="47" xr10:uidLastSave="{00000000-0000-0000-0000-000000000000}"/>
  <bookViews>
    <workbookView xWindow="-108" yWindow="-108" windowWidth="23256" windowHeight="13896" firstSheet="8" activeTab="11" xr2:uid="{60BFA933-41E0-498B-8E91-C708A1F9E676}"/>
  </bookViews>
  <sheets>
    <sheet name="Cover " sheetId="1" r:id="rId1"/>
    <sheet name="Transaction Assumptions" sheetId="2" r:id="rId2"/>
    <sheet name="ExxonMobil Financials" sheetId="3" r:id="rId3"/>
    <sheet name="Pioneer Financials" sheetId="4" r:id="rId4"/>
    <sheet name="Accretion Dilution Analysis" sheetId="5" r:id="rId5"/>
    <sheet name="Accretion Dilution Sensitivity" sheetId="6" r:id="rId6"/>
    <sheet name="Executive Summary 1" sheetId="8" r:id="rId7"/>
    <sheet name="Executive Summary 2" sheetId="7" r:id="rId8"/>
    <sheet name="Power Bi Dashboard 1" sheetId="9" r:id="rId9"/>
    <sheet name="Power Bi DashBoard 2" sheetId="10" r:id="rId10"/>
    <sheet name="Power Bi Dashboard 3" sheetId="11" r:id="rId11"/>
    <sheet name="Power Bi Dashboard 4" sheetId="12" r:id="rId1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5" i="5" l="1"/>
  <c r="A20" i="6"/>
  <c r="B30" i="6"/>
  <c r="B15" i="5"/>
  <c r="B16" i="5"/>
  <c r="C13" i="5"/>
  <c r="D13" i="5"/>
  <c r="B14" i="5"/>
  <c r="C14" i="5"/>
  <c r="D14" i="5"/>
  <c r="B13" i="5"/>
  <c r="B10" i="5"/>
  <c r="B6" i="5"/>
  <c r="D15" i="5"/>
  <c r="D16" i="5" s="1"/>
  <c r="C12" i="5"/>
  <c r="D12" i="5"/>
  <c r="B12" i="5"/>
  <c r="C11" i="5"/>
  <c r="D11" i="5"/>
  <c r="B11" i="5"/>
  <c r="C10" i="5"/>
  <c r="D10" i="5"/>
  <c r="C9" i="5"/>
  <c r="D9" i="5"/>
  <c r="B9" i="5"/>
  <c r="C8" i="5"/>
  <c r="D8" i="5"/>
  <c r="B8" i="5"/>
  <c r="C7" i="5"/>
  <c r="D7" i="5"/>
  <c r="B7" i="5"/>
  <c r="C6" i="5"/>
  <c r="D6" i="5"/>
  <c r="C5" i="5"/>
  <c r="D5" i="5"/>
  <c r="B5" i="5"/>
  <c r="E7" i="4"/>
  <c r="F10" i="4"/>
  <c r="G10" i="4"/>
  <c r="E10" i="4"/>
  <c r="F9" i="4"/>
  <c r="G9" i="4"/>
  <c r="E9" i="4"/>
  <c r="F8" i="4"/>
  <c r="G8" i="4"/>
  <c r="E8" i="4"/>
  <c r="F7" i="4"/>
  <c r="G7" i="4"/>
  <c r="F6" i="4"/>
  <c r="G6" i="4"/>
  <c r="E6" i="4"/>
  <c r="F5" i="4"/>
  <c r="G5" i="4"/>
  <c r="E5" i="4"/>
  <c r="F10" i="3"/>
  <c r="G10" i="3"/>
  <c r="E10" i="3"/>
  <c r="E9" i="3"/>
  <c r="F9" i="3"/>
  <c r="G9" i="3"/>
  <c r="G8" i="3"/>
  <c r="F8" i="3"/>
  <c r="E8" i="3"/>
  <c r="F7" i="3"/>
  <c r="G7" i="3"/>
  <c r="E7" i="3"/>
  <c r="F6" i="3"/>
  <c r="G6" i="3"/>
  <c r="E6" i="3"/>
  <c r="G5" i="3"/>
  <c r="F5" i="3"/>
  <c r="E5" i="3"/>
  <c r="C16" i="5" l="1"/>
</calcChain>
</file>

<file path=xl/sharedStrings.xml><?xml version="1.0" encoding="utf-8"?>
<sst xmlns="http://schemas.openxmlformats.org/spreadsheetml/2006/main" count="397" uniqueCount="226">
  <si>
    <t xml:space="preserve">  </t>
  </si>
  <si>
    <t>ExxonMobil–Pioneer Transaction Assumptions</t>
  </si>
  <si>
    <t>All figures in $ millions, except per-share data</t>
  </si>
  <si>
    <t>Transaction Detail</t>
  </si>
  <si>
    <t>Value</t>
  </si>
  <si>
    <t>Acquirer</t>
  </si>
  <si>
    <t>ExxonMobil</t>
  </si>
  <si>
    <t>Target</t>
  </si>
  <si>
    <t>Pioneer Natural Resources</t>
  </si>
  <si>
    <t>Transaction Type</t>
  </si>
  <si>
    <t>100% Stock</t>
  </si>
  <si>
    <t>Announced Equity Value</t>
  </si>
  <si>
    <t>Exchange Ratio</t>
  </si>
  <si>
    <t>2.3234x</t>
  </si>
  <si>
    <t>Pioneer Unaffected Share Price</t>
  </si>
  <si>
    <t>Implied Offer Price</t>
  </si>
  <si>
    <t>Acquisition Premium</t>
  </si>
  <si>
    <t>Share Calculation</t>
  </si>
  <si>
    <t>Pioneer Fully Diluted Shares</t>
  </si>
  <si>
    <t>New Exxon Shares Issued</t>
  </si>
  <si>
    <t>Existing Exxon Shares</t>
  </si>
  <si>
    <t>Pro Forma Exxon Shares</t>
  </si>
  <si>
    <t>Pioneer Shareholders’ Ownership</t>
  </si>
  <si>
    <t>Share Issuance</t>
  </si>
  <si>
    <t>Synergy Assumptions</t>
  </si>
  <si>
    <t>Synergy Detail</t>
  </si>
  <si>
    <t>Year 2 Synergies</t>
  </si>
  <si>
    <t>Long-Term Average Annual Synergies</t>
  </si>
  <si>
    <t>Improved Resource Recovery</t>
  </si>
  <si>
    <t>Capital and Operating Cost Savings</t>
  </si>
  <si>
    <t>ExxonMobil Standalone Financials</t>
  </si>
  <si>
    <t>Historical results and standalone projections before the Pioneer acquisition</t>
  </si>
  <si>
    <t>2021A</t>
  </si>
  <si>
    <t>2022A</t>
  </si>
  <si>
    <t>2023A</t>
  </si>
  <si>
    <t>2024E</t>
  </si>
  <si>
    <t>2025E</t>
  </si>
  <si>
    <t>2026E</t>
  </si>
  <si>
    <t>Total Revenue</t>
  </si>
  <si>
    <t>Income Before Taxes</t>
  </si>
  <si>
    <t>Income Tax Expense</t>
  </si>
  <si>
    <t>Net Income</t>
  </si>
  <si>
    <t>Diluted Shares Outstanding</t>
  </si>
  <si>
    <t>Earnings Per Share</t>
  </si>
  <si>
    <t xml:space="preserve">Metric </t>
  </si>
  <si>
    <t>ExxonMobil Forecast Assumptions</t>
  </si>
  <si>
    <t>Forecast Assumption</t>
  </si>
  <si>
    <t>Revenue Growth</t>
  </si>
  <si>
    <t>Pretax Margin</t>
  </si>
  <si>
    <t>Effective Tax Rate</t>
  </si>
  <si>
    <t>Noncontrolling Interest %</t>
  </si>
  <si>
    <t>Annual Share Reduction</t>
  </si>
  <si>
    <t>Pioneer Natural Resources Standalone Financials</t>
  </si>
  <si>
    <t>Figures in $ millions, except EPS.</t>
  </si>
  <si>
    <t>Metric</t>
  </si>
  <si>
    <t>Forecast Assumptions</t>
  </si>
  <si>
    <t>Production Growth</t>
  </si>
  <si>
    <t>Accretion/Dilution Analysis</t>
  </si>
  <si>
    <t>Figures in $ millions, except per-share data.</t>
  </si>
  <si>
    <t>ExxonMobil Standalone Net Income</t>
  </si>
  <si>
    <t>Pioneer Standalone Net Income</t>
  </si>
  <si>
    <t>Pretax Synergies</t>
  </si>
  <si>
    <t>Synergy Tax Rate</t>
  </si>
  <si>
    <t>After-Tax Synergies</t>
  </si>
  <si>
    <t>Pro Forma Combined Net Income</t>
  </si>
  <si>
    <t>ExxonMobil Standalone Diluted Shares</t>
  </si>
  <si>
    <t>New ExxonMobil Shares Issued</t>
  </si>
  <si>
    <t>Pro Forma Diluted Shares</t>
  </si>
  <si>
    <t>ExxonMobil Standalone EPS</t>
  </si>
  <si>
    <t>Pro Forma Combined EPS</t>
  </si>
  <si>
    <t>EPS Accretion / (Dilution)</t>
  </si>
  <si>
    <t>Accretion/Dilution Assumptions</t>
  </si>
  <si>
    <t>Assumption</t>
  </si>
  <si>
    <t>Pioneer Diluted Shares</t>
  </si>
  <si>
    <t>Transaction Financing</t>
  </si>
  <si>
    <t>Exchange Ratio (x)</t>
  </si>
  <si>
    <t>Base-Case Metric</t>
  </si>
  <si>
    <t>2026E Value</t>
  </si>
  <si>
    <t>Purpose</t>
  </si>
  <si>
    <t>Exxon Standalone Net Income</t>
  </si>
  <si>
    <t>Exxon earnings without Pioneer</t>
  </si>
  <si>
    <t>Base earnings contributed by Pioneer</t>
  </si>
  <si>
    <t>Exxon Standalone Shares</t>
  </si>
  <si>
    <t>Existing Exxon share count</t>
  </si>
  <si>
    <t>New Shares Issued</t>
  </si>
  <si>
    <t>Shares issued to Pioneer investors</t>
  </si>
  <si>
    <t>Pro Forma Shares</t>
  </si>
  <si>
    <t>Total shares following the acquisition</t>
  </si>
  <si>
    <t>Converts pretax synergies into after-tax earnings</t>
  </si>
  <si>
    <t>Exxon Standalone EPS</t>
  </si>
  <si>
    <t>Benchmark used to measure accretion</t>
  </si>
  <si>
    <t>Base Pretax Synergies</t>
  </si>
  <si>
    <t>Expected full-year synergies</t>
  </si>
  <si>
    <t>ExxonMobil–Pioneer 2026E Accretion/Dilution Sensitivity Base-Case Inputs</t>
  </si>
  <si>
    <t>2026E EPS Accretion/(Dilution) Sensitivity</t>
  </si>
  <si>
    <t>Pioneer Net Income Input</t>
  </si>
  <si>
    <t>Sensitivity Driver</t>
  </si>
  <si>
    <t>Pretax Synergy Input</t>
  </si>
  <si>
    <t>EPS Accretion/(Dilution) Output</t>
  </si>
  <si>
    <t>0.5%2</t>
  </si>
  <si>
    <t>ExxonMobil–Pioneer Natural Resources Acquisition</t>
  </si>
  <si>
    <t>Transaction Overview</t>
  </si>
  <si>
    <t>Transaction Metric</t>
  </si>
  <si>
    <t>Description</t>
  </si>
  <si>
    <t>Buyer</t>
  </si>
  <si>
    <t>Company acquired</t>
  </si>
  <si>
    <t>No cash consideration</t>
  </si>
  <si>
    <t>Equity Value</t>
  </si>
  <si>
    <t>Total value paid for Pioneer equity</t>
  </si>
  <si>
    <t>Exxon shares issued for each Pioneer share</t>
  </si>
  <si>
    <t>Pioneer Unaffected Price</t>
  </si>
  <si>
    <t>Share price before the acquisition announcement</t>
  </si>
  <si>
    <t>Value received per Pioneer share</t>
  </si>
  <si>
    <t>Premium over Pioneer’s unaffected price</t>
  </si>
  <si>
    <t>Pioneer shares converted into Exxon shares</t>
  </si>
  <si>
    <t>Exxon shares before the acquisition</t>
  </si>
  <si>
    <t>Pro Forma Shares at Closing</t>
  </si>
  <si>
    <t>Combined share count at transaction closing</t>
  </si>
  <si>
    <t>Pioneer Ownership</t>
  </si>
  <si>
    <t>Combined company owned by former Pioneer investors</t>
  </si>
  <si>
    <t>2.32x</t>
  </si>
  <si>
    <t>Accretion/Dilution Forecast</t>
  </si>
  <si>
    <t>Financial Metric</t>
  </si>
  <si>
    <t>Pro Forma EPS</t>
  </si>
  <si>
    <t>EPS Accretion/(Dilution)</t>
  </si>
  <si>
    <t>2026E Sensitivity Summary</t>
  </si>
  <si>
    <t>Sensitivity Metric</t>
  </si>
  <si>
    <t>Result</t>
  </si>
  <si>
    <t>Worst-Case EPS Accretion/(Dilution)</t>
  </si>
  <si>
    <t>Base-Case EPS Accretion</t>
  </si>
  <si>
    <t>Best-Case EPS Accretion</t>
  </si>
  <si>
    <t>Pioneer Net Income Range</t>
  </si>
  <si>
    <t>$4,426.1m–$6,639.1m</t>
  </si>
  <si>
    <t>Pretax Synergy Range</t>
  </si>
  <si>
    <t>$0m–$2,000m</t>
  </si>
  <si>
    <t>Base Pioneer NI With No Synergies</t>
  </si>
  <si>
    <t>0.17% accretive</t>
  </si>
  <si>
    <t>Synergies Needed With Pioneer 10% Below Forecast</t>
  </si>
  <si>
    <t>Approximately $677m</t>
  </si>
  <si>
    <t>Synergies Needed With Pioneer 20% Below Forecast</t>
  </si>
  <si>
    <t>Approximately $1,458m</t>
  </si>
  <si>
    <t>Figures in $ millions, except per-share data</t>
  </si>
  <si>
    <t>Strategic Rationale and Key Risks</t>
  </si>
  <si>
    <t>Category</t>
  </si>
  <si>
    <t>Factor</t>
  </si>
  <si>
    <t>Explanation</t>
  </si>
  <si>
    <t>Strategic Rationale</t>
  </si>
  <si>
    <t>Permian Basin Scale</t>
  </si>
  <si>
    <t>Expands Exxon’s position and production capacity in the Permian Basin</t>
  </si>
  <si>
    <t>Operational Efficiencies</t>
  </si>
  <si>
    <t>Combines drilling, infrastructure, logistics and purchasing operations</t>
  </si>
  <si>
    <t>Resource Inventory</t>
  </si>
  <si>
    <t>Adds long-life, high-quality oil and gas production assets</t>
  </si>
  <si>
    <t>Improved Recovery</t>
  </si>
  <si>
    <t>Exxon expects technology to increase production and resource recovery</t>
  </si>
  <si>
    <t>Synergy Potential</t>
  </si>
  <si>
    <t>Produces near-term savings with up to $2 billion of longer-term potential</t>
  </si>
  <si>
    <t>Key Risk</t>
  </si>
  <si>
    <t>Commodity Prices</t>
  </si>
  <si>
    <t>Lower oil and natural-gas prices could reduce Pioneer’s earnings</t>
  </si>
  <si>
    <t>Integration Execution</t>
  </si>
  <si>
    <t>Delays or operational problems could prevent synergy realization</t>
  </si>
  <si>
    <t>Share Dilution</t>
  </si>
  <si>
    <t>Exxon issued 545.2 million shares to complete the acquisition</t>
  </si>
  <si>
    <t>Earnings Underperformance</t>
  </si>
  <si>
    <t>The transaction can become dilutive if Pioneer earnings fall sufficiently</t>
  </si>
  <si>
    <t>Valuation Risk</t>
  </si>
  <si>
    <t>EPS accretion does not necessarily mean Exxon received more value than it paid</t>
  </si>
  <si>
    <t>Overall Deal Conclusion</t>
  </si>
  <si>
    <t>Conclusion Metric</t>
  </si>
  <si>
    <t>Assessment</t>
  </si>
  <si>
    <t>Base-Case Result</t>
  </si>
  <si>
    <t>Acquisition is projected to be 1.79% EPS accretive in 2026E</t>
  </si>
  <si>
    <t>Downside Protection</t>
  </si>
  <si>
    <t>Deal remains slightly accretive at base Pioneer earnings without synergies</t>
  </si>
  <si>
    <t>Primary Value Driver</t>
  </si>
  <si>
    <t>Pioneer’s future net income and operating performance</t>
  </si>
  <si>
    <t>Secondary Value Driver</t>
  </si>
  <si>
    <t>Exxon’s ability to realize projected synergies</t>
  </si>
  <si>
    <t>Overall Assessment</t>
  </si>
  <si>
    <t>Moderately accretive transaction with additional upside from stronger Pioneer earnings and synergy realization</t>
  </si>
  <si>
    <t>1. Transaction_Summary</t>
  </si>
  <si>
    <t>Unit</t>
  </si>
  <si>
    <t>Deal Terms</t>
  </si>
  <si>
    <t>$ millions</t>
  </si>
  <si>
    <t>x</t>
  </si>
  <si>
    <t>$ per share</t>
  </si>
  <si>
    <t>Percentage</t>
  </si>
  <si>
    <t>Million shares</t>
  </si>
  <si>
    <t>Synergies</t>
  </si>
  <si>
    <t>Long-Term Annual Synergies</t>
  </si>
  <si>
    <t>Column1</t>
  </si>
  <si>
    <t>Column2</t>
  </si>
  <si>
    <t>Column3</t>
  </si>
  <si>
    <t>Column4</t>
  </si>
  <si>
    <t>2. Financial_Performance</t>
  </si>
  <si>
    <t>Company</t>
  </si>
  <si>
    <t>Period</t>
  </si>
  <si>
    <t>Period Type</t>
  </si>
  <si>
    <t>Revenue ($m)</t>
  </si>
  <si>
    <t>Net Income ($m)</t>
  </si>
  <si>
    <t>EPS ($)</t>
  </si>
  <si>
    <t>Actual</t>
  </si>
  <si>
    <t>Estimate</t>
  </si>
  <si>
    <t>Pioneer</t>
  </si>
  <si>
    <t>Column5</t>
  </si>
  <si>
    <t>3. Accretion_Dilution</t>
  </si>
  <si>
    <t>Exxon NI ($m)</t>
  </si>
  <si>
    <t>Pioneer NI ($m)</t>
  </si>
  <si>
    <t>Pretax Synergies ($m)</t>
  </si>
  <si>
    <t>After-Tax Synergies ($m)</t>
  </si>
  <si>
    <t>Pro Forma NI ($m)</t>
  </si>
  <si>
    <t>Standalone EPS ($)</t>
  </si>
  <si>
    <t>Pro Forma EPS ($)</t>
  </si>
  <si>
    <t>Accretion (%)</t>
  </si>
  <si>
    <t>Column6</t>
  </si>
  <si>
    <t>Column7</t>
  </si>
  <si>
    <t>Column8</t>
  </si>
  <si>
    <r>
      <t xml:space="preserve">The columns represent </t>
    </r>
    <r>
      <rPr>
        <b/>
        <sz val="11"/>
        <color theme="1"/>
        <rFont val="Calibri"/>
        <family val="2"/>
        <scheme val="minor"/>
      </rPr>
      <t>pretax synergies in $ millions</t>
    </r>
    <r>
      <rPr>
        <sz val="11"/>
        <color theme="1"/>
        <rFont val="Calibri"/>
        <family val="2"/>
        <scheme val="minor"/>
      </rPr>
      <t>.</t>
    </r>
  </si>
  <si>
    <t>Pioneer Net Income ($m)</t>
  </si>
  <si>
    <t>Synergies: 0</t>
  </si>
  <si>
    <t>Synergies: 500</t>
  </si>
  <si>
    <t>Synergies: 1000</t>
  </si>
  <si>
    <t>Synergies: 1500</t>
  </si>
  <si>
    <t>Synergies: 2000</t>
  </si>
  <si>
    <t>Sensitivity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</si>
</sst>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_);[Red]\(&quot;$&quot;#,##0\)"/>
    <numFmt numFmtId="8" formatCode="&quot;$&quot;#,##0.00_);[Red]\(&quot;$&quot;#,##0.00\)"/>
    <numFmt numFmtId="164" formatCode="#,##0.0"/>
    <numFmt numFmtId="165" formatCode="0.0%"/>
    <numFmt numFmtId="166" formatCode="0.0"/>
    <numFmt numFmtId="167" formatCode="&quot;$&quot;#,##0.0_);[Red]\(&quot;$&quot;#,##0.0\)"/>
    <numFmt numFmtId="168" formatCode="&quot;$&quot;#,##0.0"/>
  </numFmts>
  <fonts count="16" x14ac:knownFonts="1">
    <font>
      <sz val="11"/>
      <color theme="1"/>
      <name val="Calibri"/>
      <family val="2"/>
      <scheme val="minor"/>
    </font>
    <font>
      <b/>
      <sz val="11"/>
      <color theme="1"/>
      <name val="Calibri"/>
      <family val="2"/>
      <scheme val="minor"/>
    </font>
    <font>
      <sz val="11"/>
      <name val="Calibri"/>
      <family val="2"/>
      <scheme val="minor"/>
    </font>
    <font>
      <sz val="11"/>
      <color theme="4"/>
      <name val="Calibri"/>
      <family val="2"/>
      <scheme val="minor"/>
    </font>
    <font>
      <sz val="12"/>
      <color theme="0"/>
      <name val="Arial Black"/>
      <family val="2"/>
    </font>
    <font>
      <sz val="16"/>
      <color theme="0"/>
      <name val="Arial Black"/>
      <family val="2"/>
    </font>
    <font>
      <sz val="12"/>
      <color theme="1"/>
      <name val="Calibri"/>
      <family val="2"/>
      <scheme val="minor"/>
    </font>
    <font>
      <b/>
      <sz val="13.5"/>
      <color theme="0"/>
      <name val="Arial Black"/>
      <family val="2"/>
    </font>
    <font>
      <i/>
      <sz val="11"/>
      <color theme="1"/>
      <name val="Calibri"/>
      <family val="2"/>
      <scheme val="minor"/>
    </font>
    <font>
      <b/>
      <sz val="16"/>
      <color theme="0"/>
      <name val="Arial Black"/>
      <family val="2"/>
    </font>
    <font>
      <b/>
      <sz val="13.5"/>
      <color theme="1"/>
      <name val="Calibri"/>
      <family val="2"/>
      <scheme val="minor"/>
    </font>
    <font>
      <sz val="14"/>
      <color theme="0"/>
      <name val="Arial Black"/>
      <family val="2"/>
    </font>
    <font>
      <b/>
      <sz val="24"/>
      <color theme="0"/>
      <name val="Calibri"/>
      <family val="2"/>
      <scheme val="minor"/>
    </font>
    <font>
      <b/>
      <sz val="18"/>
      <color theme="0"/>
      <name val="Arial Black"/>
      <family val="2"/>
    </font>
    <font>
      <b/>
      <sz val="14"/>
      <color theme="0"/>
      <name val="Arial Black"/>
      <family val="2"/>
    </font>
    <font>
      <sz val="26"/>
      <color theme="0"/>
      <name val="Arial Black"/>
      <family val="2"/>
    </font>
  </fonts>
  <fills count="5">
    <fill>
      <patternFill patternType="none"/>
    </fill>
    <fill>
      <patternFill patternType="gray125"/>
    </fill>
    <fill>
      <patternFill patternType="solid">
        <fgColor theme="4" tint="0.79998168889431442"/>
        <bgColor indexed="64"/>
      </patternFill>
    </fill>
    <fill>
      <patternFill patternType="solid">
        <fgColor theme="4" tint="-0.499984740745262"/>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73">
    <xf numFmtId="0" fontId="0" fillId="0" borderId="0" xfId="0"/>
    <xf numFmtId="0" fontId="0" fillId="2" borderId="0" xfId="0" applyFill="1"/>
    <xf numFmtId="0" fontId="0" fillId="3" borderId="0" xfId="0" applyFill="1"/>
    <xf numFmtId="0" fontId="1" fillId="4" borderId="0" xfId="0" applyFont="1" applyFill="1" applyAlignment="1">
      <alignment horizontal="center" vertical="center" wrapText="1"/>
    </xf>
    <xf numFmtId="0" fontId="0" fillId="4" borderId="0" xfId="0" applyFill="1" applyAlignment="1">
      <alignment vertical="center" wrapText="1"/>
    </xf>
    <xf numFmtId="0" fontId="3" fillId="4" borderId="0" xfId="0" applyFont="1" applyFill="1" applyAlignment="1">
      <alignment horizontal="right" vertical="center" wrapText="1"/>
    </xf>
    <xf numFmtId="164" fontId="3" fillId="4" borderId="0" xfId="0" applyNumberFormat="1" applyFont="1" applyFill="1" applyAlignment="1">
      <alignment horizontal="right" vertical="center" wrapText="1"/>
    </xf>
    <xf numFmtId="165" fontId="3" fillId="4" borderId="0" xfId="0" applyNumberFormat="1" applyFont="1" applyFill="1" applyAlignment="1">
      <alignment horizontal="right" vertical="center" wrapText="1"/>
    </xf>
    <xf numFmtId="6" fontId="3" fillId="4" borderId="0" xfId="0" applyNumberFormat="1" applyFont="1" applyFill="1" applyAlignment="1">
      <alignment horizontal="right" vertical="center" wrapText="1"/>
    </xf>
    <xf numFmtId="0" fontId="5" fillId="3" borderId="0" xfId="0" applyFont="1" applyFill="1"/>
    <xf numFmtId="3" fontId="0" fillId="4" borderId="0" xfId="0" applyNumberFormat="1" applyFill="1" applyAlignment="1">
      <alignment vertical="center" wrapText="1"/>
    </xf>
    <xf numFmtId="3" fontId="3" fillId="4" borderId="0" xfId="0" applyNumberFormat="1" applyFont="1" applyFill="1" applyAlignment="1">
      <alignment vertical="center" wrapText="1"/>
    </xf>
    <xf numFmtId="165" fontId="3" fillId="4" borderId="0" xfId="0" applyNumberFormat="1" applyFont="1" applyFill="1" applyAlignment="1">
      <alignment vertical="center" wrapText="1"/>
    </xf>
    <xf numFmtId="2" fontId="3" fillId="4" borderId="0" xfId="0" applyNumberFormat="1" applyFont="1" applyFill="1" applyAlignment="1">
      <alignment vertical="center" wrapText="1"/>
    </xf>
    <xf numFmtId="2" fontId="0" fillId="4" borderId="0" xfId="0" applyNumberFormat="1" applyFill="1" applyAlignment="1">
      <alignment vertical="center" wrapText="1"/>
    </xf>
    <xf numFmtId="0" fontId="8" fillId="2" borderId="0" xfId="0" applyFont="1" applyFill="1"/>
    <xf numFmtId="10" fontId="0" fillId="4" borderId="0" xfId="0" applyNumberFormat="1" applyFill="1" applyAlignment="1">
      <alignment vertical="center" wrapText="1"/>
    </xf>
    <xf numFmtId="166" fontId="0" fillId="4" borderId="0" xfId="0" applyNumberFormat="1" applyFill="1" applyAlignment="1">
      <alignment vertical="center" wrapText="1"/>
    </xf>
    <xf numFmtId="167" fontId="0" fillId="4" borderId="0" xfId="0" applyNumberFormat="1" applyFill="1" applyAlignment="1">
      <alignment vertical="center" wrapText="1"/>
    </xf>
    <xf numFmtId="165" fontId="0" fillId="4" borderId="0" xfId="0" applyNumberFormat="1" applyFill="1" applyAlignment="1">
      <alignment vertical="center" wrapText="1"/>
    </xf>
    <xf numFmtId="164" fontId="0" fillId="4" borderId="0" xfId="0" applyNumberFormat="1" applyFill="1" applyAlignment="1">
      <alignment vertical="center" wrapText="1"/>
    </xf>
    <xf numFmtId="164" fontId="3" fillId="4" borderId="0" xfId="0" applyNumberFormat="1" applyFont="1" applyFill="1" applyAlignment="1">
      <alignment vertical="center" wrapText="1"/>
    </xf>
    <xf numFmtId="167" fontId="3" fillId="4" borderId="0" xfId="0" applyNumberFormat="1" applyFont="1" applyFill="1" applyAlignment="1">
      <alignment vertical="center" wrapText="1"/>
    </xf>
    <xf numFmtId="0" fontId="1" fillId="4" borderId="0" xfId="0" applyFont="1" applyFill="1" applyAlignment="1">
      <alignment vertical="center" wrapText="1"/>
    </xf>
    <xf numFmtId="0" fontId="3" fillId="4" borderId="0" xfId="0" applyFont="1" applyFill="1" applyAlignment="1">
      <alignment horizontal="right" wrapText="1"/>
    </xf>
    <xf numFmtId="4" fontId="3" fillId="4" borderId="0" xfId="0" applyNumberFormat="1" applyFont="1" applyFill="1" applyAlignment="1">
      <alignment horizontal="right" wrapText="1"/>
    </xf>
    <xf numFmtId="0" fontId="3" fillId="0" borderId="0" xfId="0" applyFont="1"/>
    <xf numFmtId="168" fontId="0" fillId="4" borderId="0" xfId="0" applyNumberFormat="1" applyFill="1" applyAlignment="1">
      <alignment vertical="center" wrapText="1"/>
    </xf>
    <xf numFmtId="165" fontId="3" fillId="4" borderId="0" xfId="0" applyNumberFormat="1" applyFont="1" applyFill="1" applyAlignment="1">
      <alignment horizontal="right" wrapText="1"/>
    </xf>
    <xf numFmtId="166" fontId="3" fillId="4" borderId="0" xfId="0" applyNumberFormat="1" applyFont="1" applyFill="1" applyAlignment="1">
      <alignment horizontal="right" wrapText="1"/>
    </xf>
    <xf numFmtId="0" fontId="10" fillId="0" borderId="0" xfId="0" applyFont="1"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0" fontId="1" fillId="4" borderId="0" xfId="0" applyFont="1" applyFill="1" applyAlignment="1">
      <alignment horizontal="right" vertical="center" wrapText="1"/>
    </xf>
    <xf numFmtId="0" fontId="0" fillId="4" borderId="0" xfId="0" applyFill="1" applyAlignment="1">
      <alignment horizontal="left" vertical="center" wrapText="1"/>
    </xf>
    <xf numFmtId="10" fontId="3" fillId="4" borderId="0" xfId="0" applyNumberFormat="1" applyFont="1" applyFill="1" applyAlignment="1">
      <alignment horizontal="right" vertical="center" wrapText="1"/>
    </xf>
    <xf numFmtId="0" fontId="0" fillId="4" borderId="0" xfId="0" applyFill="1"/>
    <xf numFmtId="8" fontId="0" fillId="4" borderId="0" xfId="0" applyNumberFormat="1" applyFill="1" applyAlignment="1">
      <alignment vertical="center" wrapText="1"/>
    </xf>
    <xf numFmtId="6" fontId="1" fillId="4" borderId="0" xfId="0" applyNumberFormat="1" applyFont="1" applyFill="1" applyAlignment="1">
      <alignment horizontal="center" vertical="center" wrapText="1"/>
    </xf>
    <xf numFmtId="0" fontId="11" fillId="2" borderId="0" xfId="0" applyFont="1" applyFill="1" applyAlignment="1">
      <alignment horizontal="center"/>
    </xf>
    <xf numFmtId="165" fontId="1" fillId="4" borderId="0" xfId="0" applyNumberFormat="1" applyFont="1" applyFill="1" applyAlignment="1">
      <alignment horizontal="center" vertical="center" wrapText="1"/>
    </xf>
    <xf numFmtId="10" fontId="0" fillId="0" borderId="0" xfId="0" applyNumberFormat="1" applyAlignment="1">
      <alignment vertical="center" wrapText="1"/>
    </xf>
    <xf numFmtId="6" fontId="0" fillId="4" borderId="0" xfId="0" applyNumberFormat="1" applyFill="1" applyAlignment="1">
      <alignment vertical="center" wrapText="1"/>
    </xf>
    <xf numFmtId="10" fontId="3" fillId="4" borderId="0" xfId="0" applyNumberFormat="1" applyFont="1" applyFill="1" applyAlignment="1">
      <alignment vertical="center" wrapText="1"/>
    </xf>
    <xf numFmtId="0" fontId="3" fillId="4" borderId="0" xfId="0" applyFont="1" applyFill="1" applyAlignment="1">
      <alignment vertical="center" wrapText="1"/>
    </xf>
    <xf numFmtId="10" fontId="3" fillId="4" borderId="0" xfId="0" applyNumberFormat="1" applyFont="1" applyFill="1"/>
    <xf numFmtId="167" fontId="1" fillId="4" borderId="0" xfId="0" applyNumberFormat="1" applyFont="1" applyFill="1" applyAlignment="1">
      <alignment vertical="center" wrapText="1"/>
    </xf>
    <xf numFmtId="0" fontId="10" fillId="4" borderId="0" xfId="0" applyFont="1" applyFill="1" applyAlignment="1">
      <alignment vertical="center"/>
    </xf>
    <xf numFmtId="8" fontId="0" fillId="4" borderId="0" xfId="0" applyNumberFormat="1" applyFill="1" applyAlignment="1">
      <alignment horizontal="left" vertical="center" wrapText="1"/>
    </xf>
    <xf numFmtId="6" fontId="0" fillId="4" borderId="0" xfId="0" applyNumberFormat="1" applyFill="1" applyAlignment="1">
      <alignment horizontal="left" vertical="center" wrapText="1"/>
    </xf>
    <xf numFmtId="4" fontId="0" fillId="4" borderId="0" xfId="0" applyNumberFormat="1" applyFill="1" applyAlignment="1">
      <alignment horizontal="left" vertical="center" wrapText="1"/>
    </xf>
    <xf numFmtId="165" fontId="0" fillId="4" borderId="0" xfId="0" applyNumberFormat="1" applyFill="1" applyAlignment="1">
      <alignment horizontal="left" vertical="center" wrapText="1"/>
    </xf>
    <xf numFmtId="165" fontId="1" fillId="4" borderId="0" xfId="0" applyNumberFormat="1" applyFont="1" applyFill="1" applyAlignment="1">
      <alignment vertical="center" wrapText="1"/>
    </xf>
    <xf numFmtId="10" fontId="0" fillId="0" borderId="0" xfId="0" applyNumberFormat="1"/>
    <xf numFmtId="10" fontId="0" fillId="4" borderId="0" xfId="0" applyNumberFormat="1" applyFill="1" applyAlignment="1">
      <alignment horizontal="left" vertical="center" wrapText="1"/>
    </xf>
    <xf numFmtId="0" fontId="0" fillId="4" borderId="0" xfId="0" applyFill="1" applyAlignment="1">
      <alignment vertical="center"/>
    </xf>
    <xf numFmtId="0" fontId="1" fillId="4" borderId="0" xfId="0" applyFont="1" applyFill="1" applyAlignment="1">
      <alignment horizontal="center" vertical="center"/>
    </xf>
    <xf numFmtId="0" fontId="7" fillId="3" borderId="0" xfId="0" applyFont="1" applyFill="1" applyAlignment="1">
      <alignment horizontal="center" vertical="center"/>
    </xf>
    <xf numFmtId="0" fontId="2" fillId="2" borderId="0" xfId="0" applyFont="1" applyFill="1" applyAlignment="1">
      <alignment horizontal="center"/>
    </xf>
    <xf numFmtId="0" fontId="2" fillId="2" borderId="0" xfId="0" applyFont="1" applyFill="1" applyAlignment="1">
      <alignment horizontal="center" wrapText="1"/>
    </xf>
    <xf numFmtId="0" fontId="4" fillId="3" borderId="0" xfId="0" applyFont="1" applyFill="1" applyAlignment="1">
      <alignment horizontal="center" wrapText="1"/>
    </xf>
    <xf numFmtId="0" fontId="4" fillId="3" borderId="0" xfId="0" applyFont="1" applyFill="1" applyAlignment="1">
      <alignment horizontal="center"/>
    </xf>
    <xf numFmtId="0" fontId="6" fillId="3" borderId="0" xfId="0" applyFont="1" applyFill="1" applyAlignment="1">
      <alignment horizontal="center"/>
    </xf>
    <xf numFmtId="0" fontId="2" fillId="2" borderId="0" xfId="0" applyFont="1" applyFill="1" applyAlignment="1">
      <alignment horizontal="left" wrapText="1"/>
    </xf>
    <xf numFmtId="0" fontId="9" fillId="3" borderId="0" xfId="0" applyFont="1" applyFill="1" applyAlignment="1">
      <alignment horizontal="center" vertical="center"/>
    </xf>
    <xf numFmtId="0" fontId="11" fillId="3" borderId="0" xfId="0" applyFont="1" applyFill="1" applyAlignment="1">
      <alignment horizontal="center"/>
    </xf>
    <xf numFmtId="0" fontId="2" fillId="2" borderId="0" xfId="0" applyFont="1" applyFill="1" applyAlignment="1">
      <alignment horizontal="left"/>
    </xf>
    <xf numFmtId="0" fontId="7" fillId="3" borderId="0" xfId="0" applyFont="1" applyFill="1" applyAlignment="1">
      <alignment horizontal="center" vertical="center" wrapText="1"/>
    </xf>
    <xf numFmtId="0" fontId="14" fillId="3" borderId="0" xfId="0" applyFont="1" applyFill="1" applyAlignment="1">
      <alignment horizontal="center" vertical="center"/>
    </xf>
    <xf numFmtId="0" fontId="13" fillId="3" borderId="0" xfId="0" applyFont="1" applyFill="1" applyAlignment="1">
      <alignment horizontal="center" vertical="center"/>
    </xf>
    <xf numFmtId="0" fontId="0" fillId="2" borderId="0" xfId="0" applyFill="1" applyAlignment="1">
      <alignment horizontal="left" vertical="center"/>
    </xf>
    <xf numFmtId="0" fontId="12" fillId="3" borderId="0" xfId="0" applyFont="1" applyFill="1" applyAlignment="1">
      <alignment horizontal="center" vertical="center"/>
    </xf>
    <xf numFmtId="0" fontId="15" fillId="3" borderId="0" xfId="0" applyFont="1" applyFill="1" applyAlignment="1">
      <alignment horizontal="center"/>
    </xf>
  </cellXfs>
  <cellStyles count="1">
    <cellStyle name="Normal" xfId="0" builtinId="0"/>
  </cellStyles>
  <dxfs count="28">
    <dxf>
      <numFmt numFmtId="14" formatCode="0.00%"/>
      <alignment horizontal="general" vertical="center" textRotation="0" wrapText="1" indent="0" justifyLastLine="0" shrinkToFit="0" readingOrder="0"/>
    </dxf>
    <dxf>
      <numFmt numFmtId="14" formatCode="0.00%"/>
      <alignment horizontal="general" vertical="center" textRotation="0" wrapText="1" indent="0" justifyLastLine="0" shrinkToFit="0" readingOrder="0"/>
    </dxf>
    <dxf>
      <numFmt numFmtId="14" formatCode="0.00%"/>
      <alignment horizontal="general" vertical="center" textRotation="0" wrapText="1" indent="0" justifyLastLine="0" shrinkToFit="0" readingOrder="0"/>
    </dxf>
    <dxf>
      <numFmt numFmtId="14" formatCode="0.00%"/>
      <alignment horizontal="general" vertical="center" textRotation="0" wrapText="1" indent="0" justifyLastLine="0" shrinkToFit="0" readingOrder="0"/>
    </dxf>
    <dxf>
      <numFmt numFmtId="14" formatCode="0.00%"/>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7620</xdr:colOff>
      <xdr:row>4</xdr:row>
      <xdr:rowOff>7620</xdr:rowOff>
    </xdr:from>
    <xdr:to>
      <xdr:col>20</xdr:col>
      <xdr:colOff>601980</xdr:colOff>
      <xdr:row>14</xdr:row>
      <xdr:rowOff>91440</xdr:rowOff>
    </xdr:to>
    <xdr:sp macro="" textlink="">
      <xdr:nvSpPr>
        <xdr:cNvPr id="2" name="Rectangle 1">
          <a:extLst>
            <a:ext uri="{FF2B5EF4-FFF2-40B4-BE49-F238E27FC236}">
              <a16:creationId xmlns:a16="http://schemas.microsoft.com/office/drawing/2014/main" id="{D56F8534-640F-8591-430A-543C04CE8CE6}"/>
            </a:ext>
          </a:extLst>
        </xdr:cNvPr>
        <xdr:cNvSpPr/>
      </xdr:nvSpPr>
      <xdr:spPr>
        <a:xfrm>
          <a:off x="1226820" y="739140"/>
          <a:ext cx="11567160" cy="1912620"/>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a:solidFill>
                <a:schemeClr val="bg1"/>
              </a:solidFill>
              <a:latin typeface="Arial Black" panose="020B0A04020102020204" pitchFamily="34" charset="0"/>
            </a:rPr>
            <a:t>ExxonMobil-Pioneer Natural Resources</a:t>
          </a:r>
        </a:p>
      </xdr:txBody>
    </xdr:sp>
    <xdr:clientData/>
  </xdr:twoCellAnchor>
  <xdr:twoCellAnchor>
    <xdr:from>
      <xdr:col>2</xdr:col>
      <xdr:colOff>0</xdr:colOff>
      <xdr:row>12</xdr:row>
      <xdr:rowOff>137160</xdr:rowOff>
    </xdr:from>
    <xdr:to>
      <xdr:col>20</xdr:col>
      <xdr:colOff>586740</xdr:colOff>
      <xdr:row>18</xdr:row>
      <xdr:rowOff>160020</xdr:rowOff>
    </xdr:to>
    <xdr:sp macro="" textlink="">
      <xdr:nvSpPr>
        <xdr:cNvPr id="3" name="Rectangle 2">
          <a:extLst>
            <a:ext uri="{FF2B5EF4-FFF2-40B4-BE49-F238E27FC236}">
              <a16:creationId xmlns:a16="http://schemas.microsoft.com/office/drawing/2014/main" id="{B86FA24C-CF53-17BA-AAAC-B5C8D83EC11E}"/>
            </a:ext>
          </a:extLst>
        </xdr:cNvPr>
        <xdr:cNvSpPr/>
      </xdr:nvSpPr>
      <xdr:spPr>
        <a:xfrm>
          <a:off x="1219200" y="2331720"/>
          <a:ext cx="11559540" cy="1120140"/>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latin typeface="Arial Black" panose="020B0A04020102020204" pitchFamily="34" charset="0"/>
            </a:rPr>
            <a:t>M&amp;A Accretion</a:t>
          </a:r>
          <a:r>
            <a:rPr lang="en-US" sz="2800" baseline="0">
              <a:latin typeface="Arial Black" panose="020B0A04020102020204" pitchFamily="34" charset="0"/>
            </a:rPr>
            <a:t>/ Dilution Model</a:t>
          </a:r>
          <a:endParaRPr lang="en-US" sz="2800">
            <a:latin typeface="Arial Black" panose="020B0A04020102020204" pitchFamily="34" charset="0"/>
          </a:endParaRPr>
        </a:p>
      </xdr:txBody>
    </xdr:sp>
    <xdr:clientData/>
  </xdr:twoCellAnchor>
  <xdr:twoCellAnchor>
    <xdr:from>
      <xdr:col>2</xdr:col>
      <xdr:colOff>228600</xdr:colOff>
      <xdr:row>20</xdr:row>
      <xdr:rowOff>129540</xdr:rowOff>
    </xdr:from>
    <xdr:to>
      <xdr:col>14</xdr:col>
      <xdr:colOff>289560</xdr:colOff>
      <xdr:row>33</xdr:row>
      <xdr:rowOff>167640</xdr:rowOff>
    </xdr:to>
    <xdr:sp macro="" textlink="">
      <xdr:nvSpPr>
        <xdr:cNvPr id="1030" name="Text Box 6">
          <a:extLst>
            <a:ext uri="{FF2B5EF4-FFF2-40B4-BE49-F238E27FC236}">
              <a16:creationId xmlns:a16="http://schemas.microsoft.com/office/drawing/2014/main" id="{C3C7ABDC-F024-4180-7926-320BCFBD63FC}"/>
            </a:ext>
          </a:extLst>
        </xdr:cNvPr>
        <xdr:cNvSpPr txBox="1">
          <a:spLocks noChangeArrowheads="1"/>
        </xdr:cNvSpPr>
      </xdr:nvSpPr>
      <xdr:spPr bwMode="auto">
        <a:xfrm>
          <a:off x="1447800" y="3787140"/>
          <a:ext cx="7376160" cy="2415540"/>
        </a:xfrm>
        <a:prstGeom prst="rect">
          <a:avLst/>
        </a:prstGeom>
        <a:solidFill>
          <a:schemeClr val="accent1">
            <a:lumMod val="50000"/>
          </a:schemeClr>
        </a:solidFill>
        <a:ln w="9525">
          <a:noFill/>
          <a:miter lim="800000"/>
          <a:headEnd/>
          <a:tailEnd/>
        </a:ln>
      </xdr:spPr>
      <xdr:txBody>
        <a:bodyPr vertOverflow="clip" wrap="square" lIns="36576" tIns="32004" rIns="0" bIns="0" anchor="t" upright="1"/>
        <a:lstStyle/>
        <a:p>
          <a:pPr algn="l" rtl="0">
            <a:defRPr sz="1000"/>
          </a:pPr>
          <a:r>
            <a:rPr lang="en-US" sz="1800" b="0" i="0" u="none" strike="noStrike" baseline="0">
              <a:solidFill>
                <a:schemeClr val="bg1"/>
              </a:solidFill>
              <a:latin typeface="+mn-lt"/>
              <a:ea typeface="Calibri"/>
              <a:cs typeface="Calibri"/>
            </a:rPr>
            <a:t>Transaction Type: All-Stock Acquisition</a:t>
          </a:r>
        </a:p>
        <a:p>
          <a:pPr algn="l" rtl="0">
            <a:defRPr sz="1000"/>
          </a:pPr>
          <a:endParaRPr lang="en-US" sz="1800" b="0" i="0" u="none" strike="noStrike" baseline="0">
            <a:solidFill>
              <a:schemeClr val="bg1"/>
            </a:solidFill>
            <a:latin typeface="+mn-lt"/>
            <a:ea typeface="Calibri"/>
            <a:cs typeface="Calibri"/>
          </a:endParaRPr>
        </a:p>
        <a:p>
          <a:pPr algn="l" rtl="0">
            <a:defRPr sz="1000"/>
          </a:pPr>
          <a:r>
            <a:rPr lang="en-US" sz="1800" b="0" i="0" u="none" strike="noStrike" baseline="0">
              <a:solidFill>
                <a:schemeClr val="bg1"/>
              </a:solidFill>
              <a:latin typeface="+mn-lt"/>
              <a:ea typeface="Calibri"/>
              <a:cs typeface="Calibri"/>
            </a:rPr>
            <a:t>Deal Value: $59.5 Billion</a:t>
          </a:r>
        </a:p>
        <a:p>
          <a:pPr algn="l" rtl="0">
            <a:defRPr sz="1000"/>
          </a:pPr>
          <a:endParaRPr lang="en-US" sz="1800" b="0" i="0" u="none" strike="noStrike" baseline="0">
            <a:solidFill>
              <a:schemeClr val="bg1"/>
            </a:solidFill>
            <a:latin typeface="+mn-lt"/>
            <a:ea typeface="Calibri"/>
            <a:cs typeface="Calibri"/>
          </a:endParaRPr>
        </a:p>
        <a:p>
          <a:pPr algn="l" rtl="0">
            <a:defRPr sz="1000"/>
          </a:pPr>
          <a:r>
            <a:rPr lang="en-US" sz="1800" b="0" i="0" u="none" strike="noStrike" baseline="0">
              <a:solidFill>
                <a:schemeClr val="bg1"/>
              </a:solidFill>
              <a:latin typeface="+mn-lt"/>
              <a:ea typeface="Calibri"/>
              <a:cs typeface="Calibri"/>
            </a:rPr>
            <a:t>Prepared by: Hilal S. Berhe</a:t>
          </a:r>
        </a:p>
        <a:p>
          <a:pPr algn="l" rtl="0">
            <a:defRPr sz="1000"/>
          </a:pPr>
          <a:endParaRPr lang="en-US" sz="1800" b="0" i="0" u="none" strike="noStrike" baseline="0">
            <a:solidFill>
              <a:schemeClr val="bg1"/>
            </a:solidFill>
            <a:latin typeface="+mn-lt"/>
            <a:ea typeface="Calibri"/>
            <a:cs typeface="Calibri"/>
          </a:endParaRPr>
        </a:p>
        <a:p>
          <a:pPr algn="l" rtl="0">
            <a:defRPr sz="1000"/>
          </a:pPr>
          <a:r>
            <a:rPr lang="en-US" sz="1800" b="0" i="0" u="none" strike="noStrike" baseline="0">
              <a:solidFill>
                <a:schemeClr val="bg1"/>
              </a:solidFill>
              <a:latin typeface="+mn-lt"/>
              <a:ea typeface="Calibri"/>
              <a:cs typeface="Calibri"/>
            </a:rPr>
            <a:t>Date: July 2026</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0</xdr:row>
      <xdr:rowOff>60960</xdr:rowOff>
    </xdr:from>
    <xdr:to>
      <xdr:col>13</xdr:col>
      <xdr:colOff>15240</xdr:colOff>
      <xdr:row>15</xdr:row>
      <xdr:rowOff>22860</xdr:rowOff>
    </xdr:to>
    <xdr:sp macro="" textlink="">
      <xdr:nvSpPr>
        <xdr:cNvPr id="2" name="Rectangle 1">
          <a:extLst>
            <a:ext uri="{FF2B5EF4-FFF2-40B4-BE49-F238E27FC236}">
              <a16:creationId xmlns:a16="http://schemas.microsoft.com/office/drawing/2014/main" id="{6A699E79-F195-53F7-A274-FBEFCA614BB4}"/>
            </a:ext>
          </a:extLst>
        </xdr:cNvPr>
        <xdr:cNvSpPr/>
      </xdr:nvSpPr>
      <xdr:spPr>
        <a:xfrm>
          <a:off x="5120640" y="60960"/>
          <a:ext cx="4892040" cy="288798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600" b="1" cap="none" spc="0">
              <a:ln w="0"/>
              <a:solidFill>
                <a:schemeClr val="accent1"/>
              </a:solidFill>
              <a:effectLst>
                <a:outerShdw blurRad="38100" dist="25400" dir="5400000" algn="ctr" rotWithShape="0">
                  <a:srgbClr val="6E747A">
                    <a:alpha val="43000"/>
                  </a:srgbClr>
                </a:outerShdw>
              </a:effectLst>
              <a:latin typeface="+mn-lt"/>
            </a:rPr>
            <a:t>Transaction Summary:</a:t>
          </a:r>
        </a:p>
        <a:p>
          <a:r>
            <a:rPr lang="en-US" sz="1600" b="0" cap="none" spc="0">
              <a:ln w="0"/>
              <a:solidFill>
                <a:schemeClr val="accent1"/>
              </a:solidFill>
              <a:effectLst>
                <a:outerShdw blurRad="38100" dist="25400" dir="5400000" algn="ctr" rotWithShape="0">
                  <a:srgbClr val="6E747A">
                    <a:alpha val="43000"/>
                  </a:srgbClr>
                </a:outerShdw>
              </a:effectLst>
              <a:latin typeface="+mn-lt"/>
            </a:rPr>
            <a:t>ExxonMobil announced a $59.5 billion all-stock acquisition of Pioneer Natural Resources, offering 2.3234 Exxon shares for each Pioneer share. The offer implied a value of $253.2 per Pioneer share, representing a 17.8% premium. Exxon expected to issue approximately 545.2 million new shares, giving former Pioneer shareholders 11.9% ownership of the combined company. The acquisition was expected to generate $1 billion of synergies in Year 2 and approximately $2 billion in average annual long-term benefits.</a:t>
          </a:r>
        </a:p>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20</xdr:row>
      <xdr:rowOff>161925</xdr:rowOff>
    </xdr:from>
    <xdr:to>
      <xdr:col>4</xdr:col>
      <xdr:colOff>9525</xdr:colOff>
      <xdr:row>28</xdr:row>
      <xdr:rowOff>38100</xdr:rowOff>
    </xdr:to>
    <xdr:sp macro="" textlink="">
      <xdr:nvSpPr>
        <xdr:cNvPr id="2" name="Rectangle 1">
          <a:extLst>
            <a:ext uri="{FF2B5EF4-FFF2-40B4-BE49-F238E27FC236}">
              <a16:creationId xmlns:a16="http://schemas.microsoft.com/office/drawing/2014/main" id="{255CE5B2-6BAD-324C-8F4B-B5299E745C66}"/>
            </a:ext>
          </a:extLst>
        </xdr:cNvPr>
        <xdr:cNvSpPr/>
      </xdr:nvSpPr>
      <xdr:spPr>
        <a:xfrm>
          <a:off x="0" y="3962400"/>
          <a:ext cx="5114925" cy="1323975"/>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b="1">
              <a:solidFill>
                <a:schemeClr val="accent1"/>
              </a:solidFill>
            </a:rPr>
            <a:t>Assumptions Summary</a:t>
          </a:r>
        </a:p>
        <a:p>
          <a:r>
            <a:rPr lang="en-US">
              <a:solidFill>
                <a:schemeClr val="accent1"/>
              </a:solidFill>
            </a:rPr>
            <a:t>The forecast assumes moderate annual revenue growth of 2.0%, reflecting ExxonMobil’s mature business and exposure to commodity-price volatility. The pretax margin, effective tax rate, and noncontrolling-interest percentage remain consistent with 2023 levels to provide a stable operating baseline. Diluted shares are assumed to decline by 2.0% annually, reflecting continued share repurchases. These assumptions create a conservative standalone forecast before including the Pioneer acquisition.</a:t>
          </a:r>
        </a:p>
        <a:p>
          <a:pPr algn="l"/>
          <a:endParaRPr lang="en-US" sz="1100"/>
        </a:p>
      </xdr:txBody>
    </xdr:sp>
    <xdr:clientData/>
  </xdr:twoCellAnchor>
  <xdr:twoCellAnchor>
    <xdr:from>
      <xdr:col>0</xdr:col>
      <xdr:colOff>15240</xdr:colOff>
      <xdr:row>30</xdr:row>
      <xdr:rowOff>15240</xdr:rowOff>
    </xdr:from>
    <xdr:to>
      <xdr:col>4</xdr:col>
      <xdr:colOff>0</xdr:colOff>
      <xdr:row>39</xdr:row>
      <xdr:rowOff>7620</xdr:rowOff>
    </xdr:to>
    <xdr:sp macro="" textlink="">
      <xdr:nvSpPr>
        <xdr:cNvPr id="3" name="Rectangle 2">
          <a:extLst>
            <a:ext uri="{FF2B5EF4-FFF2-40B4-BE49-F238E27FC236}">
              <a16:creationId xmlns:a16="http://schemas.microsoft.com/office/drawing/2014/main" id="{61D2F0F9-E6FB-14AB-0B83-8C64260065BE}"/>
            </a:ext>
          </a:extLst>
        </xdr:cNvPr>
        <xdr:cNvSpPr/>
      </xdr:nvSpPr>
      <xdr:spPr>
        <a:xfrm>
          <a:off x="15240" y="5676900"/>
          <a:ext cx="5082540" cy="163830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b="1" cap="none" spc="0">
              <a:ln w="0"/>
              <a:solidFill>
                <a:schemeClr val="accent1"/>
              </a:solidFill>
              <a:effectLst>
                <a:outerShdw blurRad="38100" dist="25400" dir="5400000" algn="ctr" rotWithShape="0">
                  <a:srgbClr val="6E747A">
                    <a:alpha val="43000"/>
                  </a:srgbClr>
                </a:outerShdw>
              </a:effectLst>
            </a:rPr>
            <a:t>ExxonMobil Standalone Financial Summary</a:t>
          </a:r>
        </a:p>
        <a:p>
          <a:r>
            <a:rPr lang="en-US" b="0" cap="none" spc="0">
              <a:ln w="0"/>
              <a:solidFill>
                <a:schemeClr val="accent1"/>
              </a:solidFill>
              <a:effectLst>
                <a:outerShdw blurRad="38100" dist="25400" dir="5400000" algn="ctr" rotWithShape="0">
                  <a:srgbClr val="6E747A">
                    <a:alpha val="43000"/>
                  </a:srgbClr>
                </a:outerShdw>
              </a:effectLst>
            </a:rPr>
            <a:t>ExxonMobil’s revenue increased from $285.6 billion in 2021 to $413.7 billion in 2022 before declining to $344.6 billion in 2023 as energy-market conditions normalized. Net income followed the same pattern, rising from $23.0 billion to $55.7 billion before falling to $36.0 billion. The standalone forecast assumes moderate 2% annual growth and stable. The standalone forecast assumes moderate 2% annual growth and stable profitability, resulting in revenue reaching $365.7 billion and net income reaching $38.2 billion by 2026. Continued share repurchases reduce diluted shares </a:t>
          </a:r>
          <a:r>
            <a:rPr lang="en-US">
              <a:solidFill>
                <a:schemeClr val="accent1"/>
              </a:solidFill>
            </a:rPr>
            <a:t>and increase projected EPS from $8.89 in 2023 to $10.02 in 2026. These figures </a:t>
          </a:r>
          <a:r>
            <a:rPr lang="en-US"/>
            <a:t>provide the standalone ExxonMobil baseline used to measure the acquisition’s accretion or dilution.</a:t>
          </a:r>
        </a:p>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28</xdr:row>
      <xdr:rowOff>7620</xdr:rowOff>
    </xdr:from>
    <xdr:to>
      <xdr:col>5</xdr:col>
      <xdr:colOff>0</xdr:colOff>
      <xdr:row>39</xdr:row>
      <xdr:rowOff>60960</xdr:rowOff>
    </xdr:to>
    <xdr:sp macro="" textlink="">
      <xdr:nvSpPr>
        <xdr:cNvPr id="2" name="Rectangle 1">
          <a:extLst>
            <a:ext uri="{FF2B5EF4-FFF2-40B4-BE49-F238E27FC236}">
              <a16:creationId xmlns:a16="http://schemas.microsoft.com/office/drawing/2014/main" id="{B51BA9A1-6194-CD40-671D-0EF97E130E1F}"/>
            </a:ext>
          </a:extLst>
        </xdr:cNvPr>
        <xdr:cNvSpPr/>
      </xdr:nvSpPr>
      <xdr:spPr>
        <a:xfrm>
          <a:off x="0" y="5905500"/>
          <a:ext cx="7124700" cy="206502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a:solidFill>
                <a:schemeClr val="accent1"/>
              </a:solidFill>
            </a:rPr>
            <a:t>The forecast assumptions reflect Pioneer’s commodity-driven business model. Revenue is projected to increase 14.1% in 2024, supported by 8.0% production growth, before declining 2.1% in 2025 and 0.7% in 2026 as lower expected commodity prices outweigh continued production growth. The pretax margin decreases from 36.3% in 2024 to 32.9% in 2026, reflecting pressure from weaker oil prices. The effective tax rate remains constant at 21.7%, while diluted shares decrease 3.0% in 2024 and remain flat thereafter.</a:t>
          </a:r>
        </a:p>
        <a:p>
          <a:r>
            <a:rPr lang="en-US">
              <a:solidFill>
                <a:schemeClr val="accent1"/>
              </a:solidFill>
            </a:rPr>
            <a:t>Pioneer’s standalone financials demonstrate the volatility of an exploration and production company. Revenue increased from $14.6 billion in 2021 to $24.3 billion in 2022 before declining to $19.4 billion in 2023. Under the forecast, revenue reaches $22.1 billion in 2024 before gradually declining to $21.5 billion by 2026. Net income similarly rises to $6.3 billion in 2024 before decreasing to $5.5 billion in 2026, while EPS declines from $26.70 to $23.60. These figures represent Pioneer on a standalone basis and exclude merger synergies, transaction adjustments, and the impact of ExxonMobil shares issued in the acquisition.</a:t>
          </a:r>
        </a:p>
        <a:p>
          <a:pPr algn="l"/>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15240</xdr:colOff>
      <xdr:row>36</xdr:row>
      <xdr:rowOff>7620</xdr:rowOff>
    </xdr:from>
    <xdr:to>
      <xdr:col>5</xdr:col>
      <xdr:colOff>15240</xdr:colOff>
      <xdr:row>48</xdr:row>
      <xdr:rowOff>7620</xdr:rowOff>
    </xdr:to>
    <xdr:sp macro="" textlink="">
      <xdr:nvSpPr>
        <xdr:cNvPr id="2" name="Rectangle 1">
          <a:extLst>
            <a:ext uri="{FF2B5EF4-FFF2-40B4-BE49-F238E27FC236}">
              <a16:creationId xmlns:a16="http://schemas.microsoft.com/office/drawing/2014/main" id="{7F4ABA66-5CCB-10CA-6D03-F1F2B50EBBD7}"/>
            </a:ext>
          </a:extLst>
        </xdr:cNvPr>
        <xdr:cNvSpPr/>
      </xdr:nvSpPr>
      <xdr:spPr>
        <a:xfrm>
          <a:off x="15240" y="8587740"/>
          <a:ext cx="6309360" cy="219456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a:solidFill>
                <a:schemeClr val="accent1"/>
              </a:solidFill>
            </a:rPr>
            <a:t>The accretion/dilution assumptions reflect ExxonMobil’s all-stock acquisition of Pioneer. Pioneer’s 234.7 million diluted shares are converted into approximately 545.3 million new ExxonMobil shares using the 2.32x exchange ratio. Pretax synergies are assumed to increase from zero in 2024 to $500 million in 2025 and $1.0 billion in 2026. A 29.2% tax rate is applied to these savings, producing after-tax synergies of $354 million in 2025 and $708 million in 2026.</a:t>
          </a:r>
        </a:p>
        <a:p>
          <a:r>
            <a:rPr lang="en-US">
              <a:solidFill>
                <a:schemeClr val="accent1"/>
              </a:solidFill>
            </a:rPr>
            <a:t>The analysis indicates that the acquisition is EPS-accretive throughout the forecast period. Pro forma combined net income increases from approximately $43.0 billion in 2024 to $44.4 billion in 2026. Pro forma EPS exceeds ExxonMobil’s standalone EPS each year, resulting in accretion of 3.0% in 2024, 2.3% in 2025, and 1.8% in 2026. Accretion gradually declines because Pioneer’s projected net income decreases and Exxon’s standalone share count falls, although increasing merger synergies help offset these pressures. Overall, the acquisition adds enough earnings to compensate for the additional ExxonMobil shares issued.</a:t>
          </a:r>
        </a:p>
        <a:p>
          <a:pPr algn="l"/>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7620</xdr:colOff>
      <xdr:row>33</xdr:row>
      <xdr:rowOff>152400</xdr:rowOff>
    </xdr:from>
    <xdr:to>
      <xdr:col>6</xdr:col>
      <xdr:colOff>22860</xdr:colOff>
      <xdr:row>45</xdr:row>
      <xdr:rowOff>30480</xdr:rowOff>
    </xdr:to>
    <xdr:sp macro="" textlink="">
      <xdr:nvSpPr>
        <xdr:cNvPr id="2" name="Rectangle 1">
          <a:extLst>
            <a:ext uri="{FF2B5EF4-FFF2-40B4-BE49-F238E27FC236}">
              <a16:creationId xmlns:a16="http://schemas.microsoft.com/office/drawing/2014/main" id="{1C7A5703-CB7C-56D0-BCBD-E8F4033699F7}"/>
            </a:ext>
          </a:extLst>
        </xdr:cNvPr>
        <xdr:cNvSpPr/>
      </xdr:nvSpPr>
      <xdr:spPr>
        <a:xfrm>
          <a:off x="7620" y="7825740"/>
          <a:ext cx="8564880" cy="207264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a:solidFill>
                <a:schemeClr val="accent1"/>
              </a:solidFill>
            </a:rPr>
            <a:t>The 2026E sensitivity analysis measures how Pioneer’s earnings and the realization of merger synergies could affect ExxonMobil’s post-acquisition EPS. The analysis tests Pioneer net income between approximately $4.4 billion and $6.6 billion and pretax synergies between $0 and $2.0 billion. Under the base-case assumptions of $5.53 billion in Pioneer net income and $1.0 billion in pretax synergies, the acquisition is projected to be approximately </a:t>
          </a:r>
          <a:r>
            <a:rPr lang="en-US" b="1">
              <a:solidFill>
                <a:schemeClr val="accent1"/>
              </a:solidFill>
            </a:rPr>
            <a:t>1.79% accretive</a:t>
          </a:r>
          <a:r>
            <a:rPr lang="en-US">
              <a:solidFill>
                <a:schemeClr val="accent1"/>
              </a:solidFill>
            </a:rPr>
            <a:t>. This means ExxonMobil’s post-deal EPS is projected to be 1.79% higher than its standalone EPS despite issuing approximately 545.2 million new shares to Pioneer shareholders.</a:t>
          </a:r>
        </a:p>
        <a:p>
          <a:r>
            <a:rPr lang="en-US">
              <a:solidFill>
                <a:schemeClr val="accent1"/>
              </a:solidFill>
            </a:rPr>
            <a:t>The results range from </a:t>
          </a:r>
          <a:r>
            <a:rPr lang="en-US" b="1">
              <a:solidFill>
                <a:schemeClr val="accent1"/>
              </a:solidFill>
            </a:rPr>
            <a:t>2.37% dilution</a:t>
          </a:r>
          <a:r>
            <a:rPr lang="en-US">
              <a:solidFill>
                <a:schemeClr val="accent1"/>
              </a:solidFill>
            </a:rPr>
            <a:t> in the most conservative scenario to </a:t>
          </a:r>
          <a:r>
            <a:rPr lang="en-US" b="1">
              <a:solidFill>
                <a:schemeClr val="accent1"/>
              </a:solidFill>
            </a:rPr>
            <a:t>5.95% accretion</a:t>
          </a:r>
          <a:r>
            <a:rPr lang="en-US">
              <a:solidFill>
                <a:schemeClr val="accent1"/>
              </a:solidFill>
            </a:rPr>
            <a:t> in the strongest scenario. At Pioneer’s base earnings level, the transaction remains slightly accretive even with no synergies, producing approximately 0.17% accretion. However, if Pioneer’s earnings fall 20% below forecast, Exxon would need approximately $1.5 billion of pretax synergies for the transaction to become slightly accretive. Overall, the analysis suggests that Pioneer’s underlying earnings are sufficient to offset most of the share dilution, while successful synergy realization provides additional EPS growth and downside protection. These figures are projections based on the model’s assumptions and do not guarantee an increase in Exxon’s stock price.</a:t>
          </a:r>
        </a:p>
        <a:p>
          <a:pPr algn="l"/>
          <a:endParaRPr lang="en-US" sz="1100">
            <a:solidFill>
              <a:schemeClr val="accent1"/>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0</xdr:colOff>
      <xdr:row>4</xdr:row>
      <xdr:rowOff>7620</xdr:rowOff>
    </xdr:from>
    <xdr:to>
      <xdr:col>16</xdr:col>
      <xdr:colOff>601980</xdr:colOff>
      <xdr:row>14</xdr:row>
      <xdr:rowOff>53340</xdr:rowOff>
    </xdr:to>
    <xdr:sp macro="" textlink="">
      <xdr:nvSpPr>
        <xdr:cNvPr id="2" name="Rectangle 1">
          <a:extLst>
            <a:ext uri="{FF2B5EF4-FFF2-40B4-BE49-F238E27FC236}">
              <a16:creationId xmlns:a16="http://schemas.microsoft.com/office/drawing/2014/main" id="{4C25B484-F232-AD8B-3732-B0669E4BBC07}"/>
            </a:ext>
          </a:extLst>
        </xdr:cNvPr>
        <xdr:cNvSpPr/>
      </xdr:nvSpPr>
      <xdr:spPr>
        <a:xfrm>
          <a:off x="4069080" y="1150620"/>
          <a:ext cx="7917180" cy="388620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200">
              <a:solidFill>
                <a:schemeClr val="accent1"/>
              </a:solidFill>
            </a:rPr>
            <a:t>ExxonMobil’s acquisition of Pioneer Natural Resources was structured as a 100% stock transaction valued at approximately $59.5 billion. Pioneer shareholders received 2.3234 Exxon shares for each Pioneer share, implying an offer price of $253.20 per share and a 17.8% premium to Pioneer’s unaffected price of $215.00. Exxon issued approximately 545.2 million new shares, increasing its share count and giving former Pioneer shareholders roughly 11.9% ownership of the combined company. Because issuing shares dilutes existing shareholders, the transaction only increases Exxon’s EPS if Pioneer’s earnings and the realized cost synergies outweigh the additional shares issued.</a:t>
          </a:r>
        </a:p>
        <a:p>
          <a:r>
            <a:rPr lang="en-US" sz="1200">
              <a:solidFill>
                <a:schemeClr val="accent1"/>
              </a:solidFill>
            </a:rPr>
            <a:t>The analysis projects that the acquisition will be EPS-accretive from 2024E through 2026E. Estimated accretion is 2.95% in 2024E, 2.27% in 2025E, and 1.79% in 2026E. In the 2026 base case, Exxon contributes $38.19 billion of standalone net income, Pioneer contributes $5.53 billion, and $1.0 billion of pretax synergies produces approximately $708 million of additional after-tax income using a 29.2% tax rate. This results in pro forma net income of about $44.43 billion and pro forma EPS of $10.19, compared with Exxon’s standalone EPS of $10.01. Therefore, the acquisition increases projected 2026 EPS by approximately 1.79%.</a:t>
          </a:r>
        </a:p>
        <a:p>
          <a:endParaRPr lang="en-US" sz="1200">
            <a:solidFill>
              <a:schemeClr val="accent1"/>
            </a:solidFill>
          </a:endParaRPr>
        </a:p>
        <a:p>
          <a:r>
            <a:rPr lang="en-US" sz="1200">
              <a:solidFill>
                <a:schemeClr val="accent1"/>
              </a:solidFill>
            </a:rPr>
            <a:t>The sensitivity analysis shows that 2026 EPS accretion could range from a 2.37% dilution to a 5.95% accretion, depending on Pioneer’s earnings and the amount of synergies achieved. At the base Pioneer net income of $5.53 billion, the transaction remains slightly accretive by 0.17% even with no synergies, meaning Pioneer’s underlying earnings alone nearly justify the new shares issued. However, if Pioneer’s earnings decline, synergies become much more important: approximately $677 million of pretax synergies would be needed to break even with Pioneer earnings 10% below the base case, rising to roughly $1.46 billion if earnings are 20% lower. Overall, the acquisition appears moderately accretive, but its ultimate value depends on commodity prices, Pioneer’s future performance, successful integration, and Exxon’s ability to achieve the projected operational savings.</a:t>
          </a:r>
        </a:p>
        <a:p>
          <a:pPr algn="l"/>
          <a:endParaRPr lang="en-US"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49559C-CFB8-44C0-989D-B314666C25AE}" name="TransactionSummary" displayName="TransactionSummary" ref="A2:D17" totalsRowShown="0" dataDxfId="18">
  <autoFilter ref="A2:D17" xr:uid="{D249559C-CFB8-44C0-989D-B314666C25AE}"/>
  <tableColumns count="4">
    <tableColumn id="1" xr3:uid="{BE726B2B-9E92-48A1-8ADC-71218AB3BE5F}" name="Column1" dataDxfId="17"/>
    <tableColumn id="2" xr3:uid="{BBABA80E-74F3-4DEF-ABA5-E31918B38914}" name="Column2" dataDxfId="16"/>
    <tableColumn id="3" xr3:uid="{B90529D3-3752-4F89-93AE-5358E7077C6C}" name="Column3" dataDxfId="15"/>
    <tableColumn id="4" xr3:uid="{3CA719D5-7A37-4DAC-9472-FC07F589763F}" name="Column4" dataDxfId="1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0ADCC58-BB16-4D5B-ABBF-D8EBC4FB36EA}" name="FinancialPerformance7" displayName="FinancialPerformance7" ref="A1:F15" totalsRowShown="0" dataDxfId="13">
  <autoFilter ref="A1:F15" xr:uid="{D0ADCC58-BB16-4D5B-ABBF-D8EBC4FB36EA}"/>
  <tableColumns count="6">
    <tableColumn id="1" xr3:uid="{BF4A7692-FAC2-43BD-B8C4-53D91B83E2BD}" name="2. Financial_Performance" dataDxfId="12"/>
    <tableColumn id="2" xr3:uid="{DC86C64D-73FA-4D44-B672-95631C9A32A8}" name="Column1" dataDxfId="11"/>
    <tableColumn id="3" xr3:uid="{A12FE012-9841-46A4-AFC7-23E7F4E27682}" name="Column2" dataDxfId="10"/>
    <tableColumn id="4" xr3:uid="{7C680EED-1DBB-436B-B87F-CF2B45F75817}" name="Column3" dataDxfId="9"/>
    <tableColumn id="5" xr3:uid="{BDC6C291-CD79-40D2-836D-EF3F42F31797}" name="Column4" dataDxfId="8"/>
    <tableColumn id="6" xr3:uid="{F00E63CE-1875-4321-9071-F2A62C65C5DA}" name="Column5" dataDxfId="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71BC978-A880-4628-93F8-BE436DEF64A8}" name="AccretionDilution8" displayName="AccretionDilution8" ref="A1:I6" totalsRowShown="0" dataDxfId="27">
  <autoFilter ref="A1:I6" xr:uid="{E71BC978-A880-4628-93F8-BE436DEF64A8}"/>
  <tableColumns count="9">
    <tableColumn id="1" xr3:uid="{BE66400F-A266-45B5-A6AF-28EE9697403B}" name="3. Accretion_Dilution" dataDxfId="26"/>
    <tableColumn id="2" xr3:uid="{38E0FFFC-19CE-4CA3-9984-0E5BD99BB97D}" name="Column1" dataDxfId="25"/>
    <tableColumn id="3" xr3:uid="{AA9BB67C-8DE6-4FC5-86FF-2EF37523B739}" name="Column2" dataDxfId="24"/>
    <tableColumn id="4" xr3:uid="{D0E2BE5A-75C5-4194-B7EA-A67E3D2F6001}" name="Column3" dataDxfId="23"/>
    <tableColumn id="5" xr3:uid="{807633F3-AD47-42AF-9B05-11A6103D7FD9}" name="Column4" dataDxfId="22"/>
    <tableColumn id="6" xr3:uid="{94D1D353-15D6-4FF4-A9EB-ACEC1CA10FC8}" name="Column5" dataDxfId="21"/>
    <tableColumn id="7" xr3:uid="{EDD56B32-6B0E-4B4C-8BA1-AB20663D2907}" name="Column6" dataDxfId="20"/>
    <tableColumn id="8" xr3:uid="{42338918-377C-44BB-B34A-617BBA9DE695}" name="Column7" dataDxfId="19"/>
    <tableColumn id="9" xr3:uid="{26870FEE-0886-480E-8CA8-FC50757C76FB}" name="Column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D090E63-D7C7-4D2E-823E-C7021CD9D565}" name="Sensitivity10" displayName="Sensitivity10" ref="A3:F12" totalsRowShown="0" dataDxfId="6">
  <autoFilter ref="A3:F12" xr:uid="{5D090E63-D7C7-4D2E-823E-C7021CD9D565}"/>
  <tableColumns count="6">
    <tableColumn id="1" xr3:uid="{ECB6F05D-C953-4FA3-946B-C79B67ABF3B6}" name="Sensitivity" dataDxfId="5"/>
    <tableColumn id="2" xr3:uid="{E1E82752-56D0-4346-B4D3-5336AB38D7C3}" name="Column1" dataDxfId="4"/>
    <tableColumn id="3" xr3:uid="{6D9DEF3D-3377-465D-B651-D1A9017A559C}" name="Column2" dataDxfId="3"/>
    <tableColumn id="4" xr3:uid="{FB764308-68AC-4534-B97F-70372A357D29}" name="Column3" dataDxfId="2"/>
    <tableColumn id="5" xr3:uid="{1D5C97E5-1203-44DC-BBDA-848B1280F497}" name="Column4" dataDxfId="1"/>
    <tableColumn id="6" xr3:uid="{BADCED00-67F0-497E-91B4-DF624687AB17}" name="Column5"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07E59-7F01-4292-A0E8-8189C8EB2E2B}">
  <dimension ref="B5:U35"/>
  <sheetViews>
    <sheetView topLeftCell="A4" workbookViewId="0">
      <selection activeCell="A12" sqref="A12"/>
    </sheetView>
  </sheetViews>
  <sheetFormatPr defaultRowHeight="14.4" x14ac:dyDescent="0.3"/>
  <cols>
    <col min="1" max="16384" width="8.88671875" style="1"/>
  </cols>
  <sheetData>
    <row r="5" spans="2:21" x14ac:dyDescent="0.3">
      <c r="C5" s="2"/>
      <c r="D5" s="2"/>
      <c r="E5" s="2"/>
      <c r="F5" s="2"/>
      <c r="G5" s="2"/>
      <c r="H5" s="2"/>
      <c r="I5" s="2"/>
      <c r="J5" s="2"/>
      <c r="K5" s="2"/>
      <c r="L5" s="2"/>
      <c r="M5" s="2"/>
      <c r="N5" s="2"/>
      <c r="O5" s="2"/>
      <c r="P5" s="2"/>
      <c r="Q5" s="2"/>
      <c r="R5" s="2"/>
      <c r="S5" s="2"/>
      <c r="T5" s="2"/>
      <c r="U5" s="2"/>
    </row>
    <row r="6" spans="2:21" x14ac:dyDescent="0.3">
      <c r="C6" s="2"/>
      <c r="D6" s="2"/>
      <c r="E6" s="2"/>
      <c r="F6" s="2"/>
      <c r="G6" s="2"/>
      <c r="H6" s="2"/>
      <c r="I6" s="2"/>
      <c r="J6" s="2"/>
      <c r="K6" s="2"/>
      <c r="L6" s="2"/>
      <c r="M6" s="2"/>
      <c r="N6" s="2"/>
      <c r="O6" s="2"/>
      <c r="P6" s="2"/>
      <c r="Q6" s="2"/>
      <c r="R6" s="2"/>
      <c r="S6" s="2"/>
      <c r="T6" s="2"/>
      <c r="U6" s="2"/>
    </row>
    <row r="7" spans="2:21" x14ac:dyDescent="0.3">
      <c r="C7" s="2"/>
      <c r="D7" s="2"/>
      <c r="E7" s="2"/>
      <c r="F7" s="2"/>
      <c r="G7" s="2"/>
      <c r="H7" s="2"/>
      <c r="I7" s="2"/>
      <c r="J7" s="2"/>
      <c r="K7" s="2"/>
      <c r="L7" s="2"/>
      <c r="M7" s="2"/>
      <c r="N7" s="2"/>
      <c r="O7" s="2"/>
      <c r="P7" s="2"/>
      <c r="Q7" s="2"/>
      <c r="R7" s="2"/>
      <c r="S7" s="2"/>
      <c r="T7" s="2"/>
      <c r="U7" s="2"/>
    </row>
    <row r="8" spans="2:21" x14ac:dyDescent="0.3">
      <c r="C8" s="2"/>
      <c r="D8" s="2"/>
      <c r="E8" s="2"/>
      <c r="F8" s="2"/>
      <c r="G8" s="2"/>
      <c r="H8" s="2"/>
      <c r="I8" s="2"/>
      <c r="J8" s="2"/>
      <c r="K8" s="2"/>
      <c r="L8" s="2"/>
      <c r="M8" s="2"/>
      <c r="N8" s="2"/>
      <c r="O8" s="2"/>
      <c r="P8" s="2"/>
      <c r="Q8" s="2"/>
      <c r="R8" s="2"/>
      <c r="S8" s="2"/>
      <c r="T8" s="2"/>
      <c r="U8" s="2"/>
    </row>
    <row r="9" spans="2:21" x14ac:dyDescent="0.3">
      <c r="C9" s="2"/>
      <c r="D9" s="2"/>
      <c r="E9" s="2"/>
      <c r="F9" s="2"/>
      <c r="G9" s="2"/>
      <c r="H9" s="2"/>
      <c r="I9" s="2"/>
      <c r="J9" s="2"/>
      <c r="K9" s="2"/>
      <c r="L9" s="2"/>
      <c r="M9" s="2"/>
      <c r="N9" s="2"/>
      <c r="O9" s="2"/>
      <c r="P9" s="2"/>
      <c r="Q9" s="2"/>
      <c r="R9" s="2"/>
      <c r="S9" s="2"/>
      <c r="T9" s="2"/>
      <c r="U9" s="2"/>
    </row>
    <row r="10" spans="2:21" x14ac:dyDescent="0.3">
      <c r="C10" s="2"/>
      <c r="D10" s="2"/>
      <c r="E10" s="2"/>
      <c r="F10" s="2"/>
      <c r="G10" s="2"/>
      <c r="H10" s="2"/>
      <c r="I10" s="2"/>
      <c r="J10" s="2"/>
      <c r="K10" s="2"/>
      <c r="L10" s="2"/>
      <c r="M10" s="2"/>
      <c r="N10" s="2"/>
      <c r="O10" s="2"/>
      <c r="P10" s="2"/>
      <c r="Q10" s="2"/>
      <c r="R10" s="2"/>
      <c r="S10" s="2"/>
      <c r="T10" s="2"/>
      <c r="U10" s="2"/>
    </row>
    <row r="11" spans="2:21" x14ac:dyDescent="0.3">
      <c r="B11" s="1" t="s">
        <v>0</v>
      </c>
      <c r="C11" s="2"/>
      <c r="D11" s="2"/>
      <c r="E11" s="2"/>
      <c r="F11" s="2"/>
      <c r="G11" s="2"/>
      <c r="H11" s="2"/>
      <c r="I11" s="2"/>
      <c r="J11" s="2"/>
      <c r="K11" s="2"/>
      <c r="L11" s="2"/>
      <c r="M11" s="2"/>
      <c r="N11" s="2"/>
      <c r="O11" s="2"/>
      <c r="P11" s="2"/>
      <c r="Q11" s="2"/>
      <c r="R11" s="2"/>
      <c r="S11" s="2"/>
      <c r="T11" s="2"/>
      <c r="U11" s="2"/>
    </row>
    <row r="12" spans="2:21" x14ac:dyDescent="0.3">
      <c r="C12" s="2"/>
      <c r="D12" s="2"/>
      <c r="E12" s="2"/>
      <c r="F12" s="2"/>
      <c r="G12" s="2"/>
      <c r="H12" s="2"/>
      <c r="I12" s="2"/>
      <c r="J12" s="2"/>
      <c r="K12" s="2"/>
      <c r="L12" s="2"/>
      <c r="M12" s="2"/>
      <c r="N12" s="2"/>
      <c r="O12" s="2"/>
      <c r="P12" s="2"/>
      <c r="Q12" s="2"/>
      <c r="R12" s="2"/>
      <c r="S12" s="2"/>
      <c r="T12" s="2"/>
      <c r="U12" s="2"/>
    </row>
    <row r="13" spans="2:21" x14ac:dyDescent="0.3">
      <c r="C13" s="2"/>
      <c r="D13" s="2"/>
      <c r="E13" s="2"/>
      <c r="F13" s="2"/>
      <c r="G13" s="2"/>
      <c r="H13" s="2"/>
      <c r="I13" s="2"/>
      <c r="J13" s="2"/>
      <c r="K13" s="2"/>
      <c r="L13" s="2"/>
      <c r="M13" s="2"/>
      <c r="N13" s="2"/>
      <c r="O13" s="2"/>
      <c r="P13" s="2"/>
      <c r="Q13" s="2"/>
      <c r="R13" s="2"/>
      <c r="S13" s="2"/>
      <c r="T13" s="2"/>
      <c r="U13" s="2"/>
    </row>
    <row r="14" spans="2:21" x14ac:dyDescent="0.3">
      <c r="C14" s="2"/>
      <c r="D14" s="2"/>
      <c r="E14" s="2"/>
      <c r="F14" s="2"/>
      <c r="G14" s="2"/>
      <c r="H14" s="2"/>
      <c r="I14" s="2"/>
      <c r="J14" s="2"/>
      <c r="K14" s="2"/>
      <c r="L14" s="2"/>
      <c r="M14" s="2"/>
      <c r="N14" s="2"/>
      <c r="O14" s="2"/>
      <c r="P14" s="2"/>
      <c r="Q14" s="2"/>
      <c r="R14" s="2"/>
      <c r="S14" s="2"/>
      <c r="T14" s="2"/>
      <c r="U14" s="2"/>
    </row>
    <row r="15" spans="2:21" x14ac:dyDescent="0.3">
      <c r="C15" s="2"/>
      <c r="D15" s="2"/>
      <c r="E15" s="2"/>
      <c r="F15" s="2"/>
      <c r="G15" s="2"/>
      <c r="H15" s="2"/>
      <c r="I15" s="2"/>
      <c r="J15" s="2"/>
      <c r="K15" s="2"/>
      <c r="L15" s="2"/>
      <c r="M15" s="2"/>
      <c r="N15" s="2"/>
      <c r="O15" s="2"/>
      <c r="P15" s="2"/>
      <c r="Q15" s="2"/>
      <c r="R15" s="2"/>
      <c r="S15" s="2"/>
      <c r="T15" s="2"/>
      <c r="U15" s="2"/>
    </row>
    <row r="16" spans="2:21" x14ac:dyDescent="0.3">
      <c r="C16" s="2"/>
      <c r="D16" s="2"/>
      <c r="E16" s="2"/>
      <c r="F16" s="2"/>
      <c r="G16" s="2"/>
      <c r="H16" s="2"/>
      <c r="I16" s="2"/>
      <c r="J16" s="2"/>
      <c r="K16" s="2"/>
      <c r="L16" s="2"/>
      <c r="M16" s="2"/>
      <c r="N16" s="2"/>
      <c r="O16" s="2"/>
      <c r="P16" s="2"/>
      <c r="Q16" s="2"/>
      <c r="R16" s="2"/>
      <c r="S16" s="2"/>
      <c r="T16" s="2"/>
      <c r="U16" s="2"/>
    </row>
    <row r="17" spans="3:21" x14ac:dyDescent="0.3">
      <c r="C17" s="2"/>
      <c r="D17" s="2"/>
      <c r="E17" s="2"/>
      <c r="F17" s="2"/>
      <c r="G17" s="2"/>
      <c r="H17" s="2"/>
      <c r="I17" s="2"/>
      <c r="J17" s="2"/>
      <c r="K17" s="2"/>
      <c r="L17" s="2"/>
      <c r="M17" s="2"/>
      <c r="N17" s="2"/>
      <c r="O17" s="2"/>
      <c r="P17" s="2"/>
      <c r="Q17" s="2"/>
      <c r="R17" s="2"/>
      <c r="S17" s="2"/>
      <c r="T17" s="2"/>
      <c r="U17" s="2"/>
    </row>
    <row r="18" spans="3:21" x14ac:dyDescent="0.3">
      <c r="C18" s="2"/>
      <c r="D18" s="2"/>
      <c r="E18" s="2"/>
      <c r="F18" s="2"/>
      <c r="G18" s="2"/>
      <c r="H18" s="2"/>
      <c r="I18" s="2"/>
      <c r="J18" s="2"/>
      <c r="K18" s="2"/>
      <c r="L18" s="2"/>
      <c r="M18" s="2"/>
      <c r="N18" s="2"/>
      <c r="O18" s="2"/>
      <c r="P18" s="2"/>
      <c r="Q18" s="2"/>
      <c r="R18" s="2"/>
      <c r="S18" s="2"/>
      <c r="T18" s="2"/>
      <c r="U18" s="2"/>
    </row>
    <row r="19" spans="3:21" x14ac:dyDescent="0.3">
      <c r="C19" s="2"/>
      <c r="D19" s="2"/>
      <c r="E19" s="2"/>
      <c r="F19" s="2"/>
      <c r="G19" s="2"/>
      <c r="H19" s="2"/>
      <c r="I19" s="2"/>
      <c r="J19" s="2"/>
      <c r="K19" s="2"/>
      <c r="L19" s="2"/>
      <c r="M19" s="2"/>
      <c r="N19" s="2"/>
      <c r="O19" s="2"/>
      <c r="P19" s="2"/>
      <c r="Q19" s="2"/>
      <c r="R19" s="2"/>
      <c r="S19" s="2"/>
      <c r="T19" s="2"/>
      <c r="U19" s="2"/>
    </row>
    <row r="20" spans="3:21" x14ac:dyDescent="0.3">
      <c r="C20" s="2"/>
      <c r="D20" s="2"/>
      <c r="E20" s="2"/>
      <c r="F20" s="2"/>
      <c r="G20" s="2"/>
      <c r="H20" s="2"/>
      <c r="I20" s="2"/>
      <c r="J20" s="2"/>
      <c r="K20" s="2"/>
      <c r="L20" s="2"/>
      <c r="M20" s="2"/>
      <c r="N20" s="2"/>
      <c r="O20" s="2"/>
      <c r="P20" s="2"/>
      <c r="Q20" s="2"/>
      <c r="R20" s="2"/>
      <c r="S20" s="2"/>
      <c r="T20" s="2"/>
      <c r="U20" s="2"/>
    </row>
    <row r="21" spans="3:21" x14ac:dyDescent="0.3">
      <c r="C21" s="2"/>
      <c r="D21" s="2"/>
      <c r="E21" s="2"/>
      <c r="F21" s="2"/>
      <c r="G21" s="2"/>
      <c r="H21" s="2"/>
      <c r="I21" s="2"/>
      <c r="J21" s="2"/>
      <c r="K21" s="2"/>
      <c r="L21" s="2"/>
      <c r="M21" s="2"/>
      <c r="N21" s="2"/>
      <c r="O21" s="2"/>
      <c r="P21" s="2"/>
      <c r="Q21" s="2"/>
      <c r="R21" s="2"/>
      <c r="S21" s="2"/>
      <c r="T21" s="2"/>
      <c r="U21" s="2"/>
    </row>
    <row r="22" spans="3:21" x14ac:dyDescent="0.3">
      <c r="C22" s="2"/>
      <c r="D22" s="2"/>
      <c r="E22" s="2"/>
      <c r="F22" s="2"/>
      <c r="G22" s="2"/>
      <c r="H22" s="2"/>
      <c r="I22" s="2"/>
      <c r="J22" s="2"/>
      <c r="K22" s="2"/>
      <c r="L22" s="2"/>
      <c r="M22" s="2"/>
      <c r="N22" s="2"/>
      <c r="O22" s="2"/>
      <c r="P22" s="2"/>
      <c r="Q22" s="2"/>
      <c r="R22" s="2"/>
      <c r="S22" s="2"/>
      <c r="T22" s="2"/>
      <c r="U22" s="2"/>
    </row>
    <row r="23" spans="3:21" x14ac:dyDescent="0.3">
      <c r="C23" s="2"/>
      <c r="D23" s="2"/>
      <c r="E23" s="2"/>
      <c r="F23" s="2"/>
      <c r="G23" s="2"/>
      <c r="H23" s="2"/>
      <c r="I23" s="2"/>
      <c r="J23" s="2"/>
      <c r="K23" s="2"/>
      <c r="L23" s="2"/>
      <c r="M23" s="2"/>
      <c r="N23" s="2"/>
      <c r="O23" s="2"/>
      <c r="P23" s="2"/>
      <c r="Q23" s="2"/>
      <c r="R23" s="2"/>
      <c r="S23" s="2"/>
      <c r="T23" s="2"/>
      <c r="U23" s="2"/>
    </row>
    <row r="24" spans="3:21" x14ac:dyDescent="0.3">
      <c r="C24" s="2"/>
      <c r="D24" s="2"/>
      <c r="E24" s="2"/>
      <c r="F24" s="2"/>
      <c r="G24" s="2"/>
      <c r="H24" s="2"/>
      <c r="I24" s="2"/>
      <c r="J24" s="2"/>
      <c r="K24" s="2"/>
      <c r="L24" s="2"/>
      <c r="M24" s="2"/>
      <c r="N24" s="2"/>
      <c r="O24" s="2"/>
      <c r="P24" s="2"/>
      <c r="Q24" s="2"/>
      <c r="R24" s="2"/>
      <c r="S24" s="2"/>
      <c r="T24" s="2"/>
      <c r="U24" s="2"/>
    </row>
    <row r="25" spans="3:21" x14ac:dyDescent="0.3">
      <c r="C25" s="2"/>
      <c r="D25" s="2"/>
      <c r="E25" s="2"/>
      <c r="F25" s="2"/>
      <c r="G25" s="2"/>
      <c r="H25" s="2"/>
      <c r="I25" s="2"/>
      <c r="J25" s="2"/>
      <c r="K25" s="2"/>
      <c r="L25" s="2"/>
      <c r="M25" s="2"/>
      <c r="N25" s="2"/>
      <c r="O25" s="2"/>
      <c r="P25" s="2"/>
      <c r="Q25" s="2"/>
      <c r="R25" s="2"/>
      <c r="S25" s="2"/>
      <c r="T25" s="2"/>
      <c r="U25" s="2"/>
    </row>
    <row r="26" spans="3:21" x14ac:dyDescent="0.3">
      <c r="C26" s="2"/>
      <c r="D26" s="2"/>
      <c r="E26" s="2"/>
      <c r="F26" s="2"/>
      <c r="G26" s="2"/>
      <c r="H26" s="2"/>
      <c r="I26" s="2"/>
      <c r="J26" s="2"/>
      <c r="K26" s="2"/>
      <c r="L26" s="2"/>
      <c r="M26" s="2"/>
      <c r="N26" s="2"/>
      <c r="O26" s="2"/>
      <c r="P26" s="2"/>
      <c r="Q26" s="2"/>
      <c r="R26" s="2"/>
      <c r="S26" s="2"/>
      <c r="T26" s="2"/>
      <c r="U26" s="2"/>
    </row>
    <row r="27" spans="3:21" x14ac:dyDescent="0.3">
      <c r="C27" s="2"/>
      <c r="D27" s="2"/>
      <c r="E27" s="2"/>
      <c r="F27" s="2"/>
      <c r="G27" s="2"/>
      <c r="H27" s="2"/>
      <c r="I27" s="2"/>
      <c r="J27" s="2"/>
      <c r="K27" s="2"/>
      <c r="L27" s="2"/>
      <c r="M27" s="2"/>
      <c r="N27" s="2"/>
      <c r="O27" s="2"/>
      <c r="P27" s="2"/>
      <c r="Q27" s="2"/>
      <c r="R27" s="2"/>
      <c r="S27" s="2"/>
      <c r="T27" s="2"/>
      <c r="U27" s="2"/>
    </row>
    <row r="28" spans="3:21" x14ac:dyDescent="0.3">
      <c r="C28" s="2"/>
      <c r="D28" s="2"/>
      <c r="E28" s="2"/>
      <c r="F28" s="2"/>
      <c r="G28" s="2"/>
      <c r="H28" s="2"/>
      <c r="I28" s="2"/>
      <c r="J28" s="2"/>
      <c r="K28" s="2"/>
      <c r="L28" s="2"/>
      <c r="M28" s="2"/>
      <c r="N28" s="2"/>
      <c r="O28" s="2"/>
      <c r="P28" s="2"/>
      <c r="Q28" s="2"/>
      <c r="R28" s="2"/>
      <c r="S28" s="2"/>
      <c r="T28" s="2"/>
      <c r="U28" s="2"/>
    </row>
    <row r="29" spans="3:21" x14ac:dyDescent="0.3">
      <c r="C29" s="2"/>
      <c r="D29" s="2"/>
      <c r="E29" s="2"/>
      <c r="F29" s="2"/>
      <c r="G29" s="2"/>
      <c r="H29" s="2"/>
      <c r="I29" s="2"/>
      <c r="J29" s="2"/>
      <c r="K29" s="2"/>
      <c r="L29" s="2"/>
      <c r="M29" s="2"/>
      <c r="N29" s="2"/>
      <c r="O29" s="2"/>
      <c r="P29" s="2"/>
      <c r="Q29" s="2"/>
      <c r="R29" s="2"/>
      <c r="S29" s="2"/>
      <c r="T29" s="2"/>
      <c r="U29" s="2"/>
    </row>
    <row r="30" spans="3:21" x14ac:dyDescent="0.3">
      <c r="C30" s="2"/>
      <c r="D30" s="2"/>
      <c r="E30" s="2"/>
      <c r="F30" s="2"/>
      <c r="G30" s="2"/>
      <c r="H30" s="2"/>
      <c r="I30" s="2"/>
      <c r="J30" s="2"/>
      <c r="K30" s="2"/>
      <c r="L30" s="2"/>
      <c r="M30" s="2"/>
      <c r="N30" s="2"/>
      <c r="O30" s="2"/>
      <c r="P30" s="2"/>
      <c r="Q30" s="2"/>
      <c r="R30" s="2"/>
      <c r="S30" s="2"/>
      <c r="T30" s="2"/>
      <c r="U30" s="2"/>
    </row>
    <row r="31" spans="3:21" x14ac:dyDescent="0.3">
      <c r="C31" s="2"/>
      <c r="D31" s="2"/>
      <c r="E31" s="2"/>
      <c r="F31" s="2"/>
      <c r="G31" s="2"/>
      <c r="H31" s="2"/>
      <c r="I31" s="2"/>
      <c r="J31" s="2"/>
      <c r="K31" s="2"/>
      <c r="L31" s="2"/>
      <c r="M31" s="2"/>
      <c r="N31" s="2"/>
      <c r="O31" s="2"/>
      <c r="P31" s="2"/>
      <c r="Q31" s="2"/>
      <c r="R31" s="2"/>
      <c r="S31" s="2"/>
      <c r="T31" s="2"/>
      <c r="U31" s="2"/>
    </row>
    <row r="32" spans="3:21" x14ac:dyDescent="0.3">
      <c r="C32" s="2"/>
      <c r="D32" s="2"/>
      <c r="E32" s="2"/>
      <c r="F32" s="2"/>
      <c r="G32" s="2"/>
      <c r="H32" s="2"/>
      <c r="I32" s="2"/>
      <c r="J32" s="2"/>
      <c r="K32" s="2"/>
      <c r="L32" s="2"/>
      <c r="M32" s="2"/>
      <c r="N32" s="2"/>
      <c r="O32" s="2"/>
      <c r="P32" s="2"/>
      <c r="Q32" s="2"/>
      <c r="R32" s="2"/>
      <c r="S32" s="2"/>
      <c r="T32" s="2"/>
      <c r="U32" s="2"/>
    </row>
    <row r="33" spans="3:21" x14ac:dyDescent="0.3">
      <c r="C33" s="2"/>
      <c r="D33" s="2"/>
      <c r="E33" s="2"/>
      <c r="F33" s="2"/>
      <c r="G33" s="2"/>
      <c r="H33" s="2"/>
      <c r="I33" s="2"/>
      <c r="J33" s="2"/>
      <c r="K33" s="2"/>
      <c r="L33" s="2"/>
      <c r="M33" s="2"/>
      <c r="N33" s="2"/>
      <c r="O33" s="2"/>
      <c r="P33" s="2"/>
      <c r="Q33" s="2"/>
      <c r="R33" s="2"/>
      <c r="S33" s="2"/>
      <c r="T33" s="2"/>
      <c r="U33" s="2"/>
    </row>
    <row r="34" spans="3:21" x14ac:dyDescent="0.3">
      <c r="C34" s="2"/>
      <c r="D34" s="2"/>
      <c r="E34" s="2"/>
      <c r="F34" s="2"/>
      <c r="G34" s="2"/>
      <c r="H34" s="2"/>
      <c r="I34" s="2"/>
      <c r="J34" s="2"/>
      <c r="K34" s="2"/>
      <c r="L34" s="2"/>
      <c r="M34" s="2"/>
      <c r="N34" s="2"/>
      <c r="O34" s="2"/>
      <c r="P34" s="2"/>
      <c r="Q34" s="2"/>
      <c r="R34" s="2"/>
      <c r="S34" s="2"/>
      <c r="T34" s="2"/>
      <c r="U34" s="2"/>
    </row>
    <row r="35" spans="3:21" x14ac:dyDescent="0.3">
      <c r="C35" s="2"/>
      <c r="D35" s="2"/>
      <c r="E35" s="2"/>
      <c r="F35" s="2"/>
      <c r="G35" s="2"/>
      <c r="H35" s="2"/>
      <c r="I35" s="2"/>
      <c r="J35" s="2"/>
      <c r="K35" s="2"/>
      <c r="L35" s="2"/>
      <c r="M35" s="2"/>
      <c r="N35" s="2"/>
      <c r="O35" s="2"/>
      <c r="P35" s="2"/>
      <c r="Q35" s="2"/>
      <c r="R35" s="2"/>
      <c r="S35" s="2"/>
      <c r="T35" s="2"/>
      <c r="U35" s="2"/>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D48D5-B106-4322-97BA-462BBCCBD4EE}">
  <dimension ref="A1:B39"/>
  <sheetViews>
    <sheetView topLeftCell="A11" workbookViewId="0">
      <selection activeCell="O20" sqref="O20"/>
    </sheetView>
  </sheetViews>
  <sheetFormatPr defaultRowHeight="14.4" x14ac:dyDescent="0.3"/>
  <cols>
    <col min="1" max="1" width="25.109375" bestFit="1" customWidth="1"/>
    <col min="2" max="2" width="22.88671875" bestFit="1" customWidth="1"/>
  </cols>
  <sheetData>
    <row r="1" spans="1:2" x14ac:dyDescent="0.3">
      <c r="A1" s="60" t="s">
        <v>1</v>
      </c>
      <c r="B1" s="60"/>
    </row>
    <row r="2" spans="1:2" x14ac:dyDescent="0.3">
      <c r="A2" s="60"/>
      <c r="B2" s="60"/>
    </row>
    <row r="3" spans="1:2" x14ac:dyDescent="0.3">
      <c r="A3" s="60"/>
      <c r="B3" s="60"/>
    </row>
    <row r="4" spans="1:2" x14ac:dyDescent="0.3">
      <c r="A4" s="59" t="s">
        <v>2</v>
      </c>
      <c r="B4" s="59"/>
    </row>
    <row r="5" spans="1:2" x14ac:dyDescent="0.3">
      <c r="A5" s="3" t="s">
        <v>3</v>
      </c>
      <c r="B5" s="3" t="s">
        <v>4</v>
      </c>
    </row>
    <row r="6" spans="1:2" x14ac:dyDescent="0.3">
      <c r="A6" s="4" t="s">
        <v>5</v>
      </c>
      <c r="B6" s="5" t="s">
        <v>6</v>
      </c>
    </row>
    <row r="7" spans="1:2" x14ac:dyDescent="0.3">
      <c r="A7" s="4" t="s">
        <v>7</v>
      </c>
      <c r="B7" s="5" t="s">
        <v>8</v>
      </c>
    </row>
    <row r="8" spans="1:2" x14ac:dyDescent="0.3">
      <c r="A8" s="4" t="s">
        <v>9</v>
      </c>
      <c r="B8" s="5" t="s">
        <v>10</v>
      </c>
    </row>
    <row r="9" spans="1:2" x14ac:dyDescent="0.3">
      <c r="A9" s="4" t="s">
        <v>11</v>
      </c>
      <c r="B9" s="8">
        <v>59500</v>
      </c>
    </row>
    <row r="10" spans="1:2" x14ac:dyDescent="0.3">
      <c r="A10" s="4" t="s">
        <v>12</v>
      </c>
      <c r="B10" s="6" t="s">
        <v>13</v>
      </c>
    </row>
    <row r="11" spans="1:2" ht="28.8" x14ac:dyDescent="0.3">
      <c r="A11" s="4" t="s">
        <v>14</v>
      </c>
      <c r="B11" s="6">
        <v>214.96</v>
      </c>
    </row>
    <row r="12" spans="1:2" x14ac:dyDescent="0.3">
      <c r="A12" s="4" t="s">
        <v>15</v>
      </c>
      <c r="B12" s="6">
        <v>253.23</v>
      </c>
    </row>
    <row r="13" spans="1:2" x14ac:dyDescent="0.3">
      <c r="A13" s="4" t="s">
        <v>16</v>
      </c>
      <c r="B13" s="7">
        <v>0.17799999999999999</v>
      </c>
    </row>
    <row r="18" spans="1:2" x14ac:dyDescent="0.3">
      <c r="A18" s="61" t="s">
        <v>23</v>
      </c>
      <c r="B18" s="62"/>
    </row>
    <row r="19" spans="1:2" x14ac:dyDescent="0.3">
      <c r="A19" s="62"/>
      <c r="B19" s="62"/>
    </row>
    <row r="20" spans="1:2" x14ac:dyDescent="0.3">
      <c r="A20" s="59" t="s">
        <v>2</v>
      </c>
      <c r="B20" s="59"/>
    </row>
    <row r="21" spans="1:2" x14ac:dyDescent="0.3">
      <c r="A21" s="3" t="s">
        <v>17</v>
      </c>
      <c r="B21" s="3" t="s">
        <v>4</v>
      </c>
    </row>
    <row r="22" spans="1:2" x14ac:dyDescent="0.3">
      <c r="A22" s="4" t="s">
        <v>18</v>
      </c>
      <c r="B22" s="5">
        <v>234.7</v>
      </c>
    </row>
    <row r="23" spans="1:2" x14ac:dyDescent="0.3">
      <c r="A23" s="4" t="s">
        <v>12</v>
      </c>
      <c r="B23" s="5" t="s">
        <v>13</v>
      </c>
    </row>
    <row r="24" spans="1:2" x14ac:dyDescent="0.3">
      <c r="A24" s="4" t="s">
        <v>19</v>
      </c>
      <c r="B24" s="5">
        <v>545.20000000000005</v>
      </c>
    </row>
    <row r="25" spans="1:2" x14ac:dyDescent="0.3">
      <c r="A25" s="4" t="s">
        <v>20</v>
      </c>
      <c r="B25" s="6">
        <v>4052</v>
      </c>
    </row>
    <row r="26" spans="1:2" x14ac:dyDescent="0.3">
      <c r="A26" s="4" t="s">
        <v>21</v>
      </c>
      <c r="B26" s="6">
        <v>4597.2</v>
      </c>
    </row>
    <row r="27" spans="1:2" ht="28.8" x14ac:dyDescent="0.3">
      <c r="A27" s="4" t="s">
        <v>22</v>
      </c>
      <c r="B27" s="7">
        <v>0.11899999999999999</v>
      </c>
    </row>
    <row r="32" spans="1:2" x14ac:dyDescent="0.3">
      <c r="A32" s="57" t="s">
        <v>24</v>
      </c>
      <c r="B32" s="57"/>
    </row>
    <row r="33" spans="1:2" x14ac:dyDescent="0.3">
      <c r="A33" s="57"/>
      <c r="B33" s="57"/>
    </row>
    <row r="34" spans="1:2" x14ac:dyDescent="0.3">
      <c r="A34" s="58" t="s">
        <v>2</v>
      </c>
      <c r="B34" s="58"/>
    </row>
    <row r="35" spans="1:2" x14ac:dyDescent="0.3">
      <c r="A35" s="3" t="s">
        <v>25</v>
      </c>
      <c r="B35" s="3" t="s">
        <v>4</v>
      </c>
    </row>
    <row r="36" spans="1:2" x14ac:dyDescent="0.3">
      <c r="A36" s="4" t="s">
        <v>26</v>
      </c>
      <c r="B36" s="8">
        <v>1000</v>
      </c>
    </row>
    <row r="37" spans="1:2" ht="28.8" x14ac:dyDescent="0.3">
      <c r="A37" s="4" t="s">
        <v>27</v>
      </c>
      <c r="B37" s="8">
        <v>2000</v>
      </c>
    </row>
    <row r="38" spans="1:2" x14ac:dyDescent="0.3">
      <c r="A38" s="4" t="s">
        <v>28</v>
      </c>
      <c r="B38" s="8">
        <v>1300</v>
      </c>
    </row>
    <row r="39" spans="1:2" ht="28.8" x14ac:dyDescent="0.3">
      <c r="A39" s="4" t="s">
        <v>29</v>
      </c>
      <c r="B39" s="8">
        <v>700</v>
      </c>
    </row>
  </sheetData>
  <mergeCells count="6">
    <mergeCell ref="A32:B33"/>
    <mergeCell ref="A34:B34"/>
    <mergeCell ref="A20:B20"/>
    <mergeCell ref="A4:B4"/>
    <mergeCell ref="A1:B3"/>
    <mergeCell ref="A18:B1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C109C-CDF0-4685-B437-88D64630BC54}">
  <dimension ref="A1:G19"/>
  <sheetViews>
    <sheetView zoomScale="80" zoomScaleNormal="80" workbookViewId="0">
      <selection activeCell="E9" sqref="E9"/>
    </sheetView>
  </sheetViews>
  <sheetFormatPr defaultRowHeight="14.4" x14ac:dyDescent="0.3"/>
  <cols>
    <col min="1" max="1" width="27" bestFit="1" customWidth="1"/>
    <col min="2" max="7" width="15.77734375" customWidth="1"/>
  </cols>
  <sheetData>
    <row r="1" spans="1:7" ht="25.2" x14ac:dyDescent="0.6">
      <c r="A1" s="9" t="s">
        <v>30</v>
      </c>
      <c r="B1" s="9"/>
      <c r="C1" s="9"/>
      <c r="D1" s="9"/>
      <c r="E1" s="9"/>
      <c r="F1" s="9"/>
      <c r="G1" s="9"/>
    </row>
    <row r="2" spans="1:7" x14ac:dyDescent="0.3">
      <c r="A2" s="1" t="s">
        <v>31</v>
      </c>
      <c r="B2" s="1"/>
      <c r="C2" s="1"/>
      <c r="D2" s="1"/>
      <c r="E2" s="1"/>
      <c r="F2" s="1"/>
      <c r="G2" s="1"/>
    </row>
    <row r="3" spans="1:7" ht="14.4" customHeight="1" x14ac:dyDescent="0.3">
      <c r="A3" s="63" t="s">
        <v>2</v>
      </c>
      <c r="B3" s="63"/>
      <c r="C3" s="63"/>
      <c r="D3" s="63"/>
      <c r="E3" s="1"/>
      <c r="F3" s="1"/>
      <c r="G3" s="1"/>
    </row>
    <row r="4" spans="1:7" x14ac:dyDescent="0.3">
      <c r="A4" s="3" t="s">
        <v>44</v>
      </c>
      <c r="B4" s="3" t="s">
        <v>32</v>
      </c>
      <c r="C4" s="3" t="s">
        <v>33</v>
      </c>
      <c r="D4" s="3" t="s">
        <v>34</v>
      </c>
      <c r="E4" s="3" t="s">
        <v>35</v>
      </c>
      <c r="F4" s="3" t="s">
        <v>36</v>
      </c>
      <c r="G4" s="3" t="s">
        <v>37</v>
      </c>
    </row>
    <row r="5" spans="1:7" x14ac:dyDescent="0.3">
      <c r="A5" s="4" t="s">
        <v>38</v>
      </c>
      <c r="B5" s="11">
        <v>285640</v>
      </c>
      <c r="C5" s="11">
        <v>413680</v>
      </c>
      <c r="D5" s="11">
        <v>344582</v>
      </c>
      <c r="E5" s="10">
        <f>D5*(1+B15)</f>
        <v>351473.64</v>
      </c>
      <c r="F5" s="10">
        <f>E5*(1+C15)</f>
        <v>358503.1128</v>
      </c>
      <c r="G5" s="10">
        <f>F5*(1+D15)</f>
        <v>365673.17505600001</v>
      </c>
    </row>
    <row r="6" spans="1:7" x14ac:dyDescent="0.3">
      <c r="A6" s="4" t="s">
        <v>39</v>
      </c>
      <c r="B6" s="11">
        <v>31234</v>
      </c>
      <c r="C6" s="11">
        <v>77753</v>
      </c>
      <c r="D6" s="11">
        <v>52783</v>
      </c>
      <c r="E6" s="10">
        <f>E5*B16</f>
        <v>53775.466919999999</v>
      </c>
      <c r="F6" s="10">
        <f t="shared" ref="F6:G6" si="0">F5*C16</f>
        <v>54850.976258399998</v>
      </c>
      <c r="G6" s="10">
        <f t="shared" si="0"/>
        <v>55947.995783568003</v>
      </c>
    </row>
    <row r="7" spans="1:7" x14ac:dyDescent="0.3">
      <c r="A7" s="4" t="s">
        <v>40</v>
      </c>
      <c r="B7" s="11">
        <v>7636</v>
      </c>
      <c r="C7" s="11">
        <v>20176</v>
      </c>
      <c r="D7" s="11">
        <v>15429</v>
      </c>
      <c r="E7" s="10">
        <f>E6*B17</f>
        <v>15702.436340639999</v>
      </c>
      <c r="F7" s="10">
        <f t="shared" ref="F7:G7" si="1">F6*C17</f>
        <v>16016.485067452799</v>
      </c>
      <c r="G7" s="10">
        <f t="shared" si="1"/>
        <v>16336.814768801856</v>
      </c>
    </row>
    <row r="8" spans="1:7" x14ac:dyDescent="0.3">
      <c r="A8" s="4" t="s">
        <v>41</v>
      </c>
      <c r="B8" s="11">
        <v>23040</v>
      </c>
      <c r="C8" s="11">
        <v>55740</v>
      </c>
      <c r="D8" s="11">
        <v>36010</v>
      </c>
      <c r="E8" s="10">
        <f>(E6-E7)*(1-B18)</f>
        <v>36702.401478503038</v>
      </c>
      <c r="F8" s="10">
        <f>(F6-F7)*(1-C18)</f>
        <v>37436.449508073099</v>
      </c>
      <c r="G8" s="10">
        <f>(G6-G7)*(1-D18)</f>
        <v>38185.178498234563</v>
      </c>
    </row>
    <row r="9" spans="1:7" x14ac:dyDescent="0.3">
      <c r="A9" s="4" t="s">
        <v>42</v>
      </c>
      <c r="B9" s="11">
        <v>4275</v>
      </c>
      <c r="C9" s="11">
        <v>4205</v>
      </c>
      <c r="D9" s="11">
        <v>4052</v>
      </c>
      <c r="E9" s="10">
        <f>D9*(1-B19)</f>
        <v>3970.96</v>
      </c>
      <c r="F9" s="10">
        <f t="shared" ref="F9:G9" si="2">E9*(1-C19)</f>
        <v>3891.5407999999998</v>
      </c>
      <c r="G9" s="10">
        <f t="shared" si="2"/>
        <v>3813.7099839999996</v>
      </c>
    </row>
    <row r="10" spans="1:7" x14ac:dyDescent="0.3">
      <c r="A10" s="4" t="s">
        <v>43</v>
      </c>
      <c r="B10" s="13">
        <v>5.39</v>
      </c>
      <c r="C10" s="13">
        <v>13.26</v>
      </c>
      <c r="D10" s="13">
        <v>8.89</v>
      </c>
      <c r="E10" s="14">
        <f>E8/E9</f>
        <v>9.2427023889696791</v>
      </c>
      <c r="F10" s="14">
        <f>F8/F9</f>
        <v>9.6199555477031371</v>
      </c>
      <c r="G10" s="14">
        <f t="shared" ref="G10" si="3">G8/G9</f>
        <v>10.012606794548164</v>
      </c>
    </row>
    <row r="12" spans="1:7" ht="17.399999999999999" customHeight="1" x14ac:dyDescent="0.3">
      <c r="A12" s="57" t="s">
        <v>45</v>
      </c>
      <c r="B12" s="57"/>
      <c r="C12" s="57"/>
      <c r="D12" s="57"/>
    </row>
    <row r="13" spans="1:7" ht="14.4" customHeight="1" x14ac:dyDescent="0.3">
      <c r="A13" s="1" t="s">
        <v>2</v>
      </c>
      <c r="B13" s="1"/>
      <c r="C13" s="1"/>
      <c r="D13" s="1"/>
    </row>
    <row r="14" spans="1:7" x14ac:dyDescent="0.3">
      <c r="A14" s="3" t="s">
        <v>46</v>
      </c>
      <c r="B14" s="3" t="s">
        <v>35</v>
      </c>
      <c r="C14" s="3" t="s">
        <v>36</v>
      </c>
      <c r="D14" s="3" t="s">
        <v>37</v>
      </c>
    </row>
    <row r="15" spans="1:7" x14ac:dyDescent="0.3">
      <c r="A15" s="4" t="s">
        <v>47</v>
      </c>
      <c r="B15" s="12">
        <v>0.02</v>
      </c>
      <c r="C15" s="12">
        <v>0.02</v>
      </c>
      <c r="D15" s="12">
        <v>0.02</v>
      </c>
    </row>
    <row r="16" spans="1:7" x14ac:dyDescent="0.3">
      <c r="A16" s="4" t="s">
        <v>48</v>
      </c>
      <c r="B16" s="12">
        <v>0.153</v>
      </c>
      <c r="C16" s="12">
        <v>0.153</v>
      </c>
      <c r="D16" s="12">
        <v>0.153</v>
      </c>
    </row>
    <row r="17" spans="1:4" x14ac:dyDescent="0.3">
      <c r="A17" s="4" t="s">
        <v>49</v>
      </c>
      <c r="B17" s="12">
        <v>0.29199999999999998</v>
      </c>
      <c r="C17" s="12">
        <v>0.29199999999999998</v>
      </c>
      <c r="D17" s="12">
        <v>0.29199999999999998</v>
      </c>
    </row>
    <row r="18" spans="1:4" x14ac:dyDescent="0.3">
      <c r="A18" s="4" t="s">
        <v>50</v>
      </c>
      <c r="B18" s="12">
        <v>3.5999999999999997E-2</v>
      </c>
      <c r="C18" s="12">
        <v>3.5999999999999997E-2</v>
      </c>
      <c r="D18" s="12">
        <v>3.5999999999999997E-2</v>
      </c>
    </row>
    <row r="19" spans="1:4" x14ac:dyDescent="0.3">
      <c r="A19" s="4" t="s">
        <v>51</v>
      </c>
      <c r="B19" s="12">
        <v>0.02</v>
      </c>
      <c r="C19" s="12">
        <v>0.02</v>
      </c>
      <c r="D19" s="12">
        <v>0.02</v>
      </c>
    </row>
  </sheetData>
  <mergeCells count="2">
    <mergeCell ref="A3:D3"/>
    <mergeCell ref="A12:D1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0D76C-0788-493E-91AD-589FE0191EE8}">
  <dimension ref="A1:G22"/>
  <sheetViews>
    <sheetView zoomScale="80" zoomScaleNormal="80" workbookViewId="0">
      <selection activeCell="E8" sqref="E8"/>
    </sheetView>
  </sheetViews>
  <sheetFormatPr defaultRowHeight="14.4" x14ac:dyDescent="0.3"/>
  <cols>
    <col min="1" max="7" width="20.77734375" customWidth="1"/>
  </cols>
  <sheetData>
    <row r="1" spans="1:7" ht="18" customHeight="1" x14ac:dyDescent="0.3">
      <c r="A1" s="64" t="s">
        <v>52</v>
      </c>
      <c r="B1" s="64"/>
      <c r="C1" s="64"/>
      <c r="D1" s="64"/>
      <c r="E1" s="64"/>
      <c r="F1" s="64"/>
      <c r="G1" s="64"/>
    </row>
    <row r="2" spans="1:7" x14ac:dyDescent="0.3">
      <c r="A2" s="64"/>
      <c r="B2" s="64"/>
      <c r="C2" s="64"/>
      <c r="D2" s="64"/>
      <c r="E2" s="64"/>
      <c r="F2" s="64"/>
      <c r="G2" s="64"/>
    </row>
    <row r="3" spans="1:7" x14ac:dyDescent="0.3">
      <c r="A3" s="15" t="s">
        <v>53</v>
      </c>
      <c r="B3" s="1"/>
      <c r="C3" s="1"/>
      <c r="D3" s="1"/>
      <c r="E3" s="1"/>
      <c r="F3" s="1"/>
      <c r="G3" s="1"/>
    </row>
    <row r="4" spans="1:7" x14ac:dyDescent="0.3">
      <c r="A4" s="3" t="s">
        <v>54</v>
      </c>
      <c r="B4" s="3" t="s">
        <v>32</v>
      </c>
      <c r="C4" s="3" t="s">
        <v>33</v>
      </c>
      <c r="D4" s="3" t="s">
        <v>34</v>
      </c>
      <c r="E4" s="3" t="s">
        <v>35</v>
      </c>
      <c r="F4" s="3" t="s">
        <v>36</v>
      </c>
      <c r="G4" s="3" t="s">
        <v>37</v>
      </c>
    </row>
    <row r="5" spans="1:7" x14ac:dyDescent="0.3">
      <c r="A5" s="4" t="s">
        <v>38</v>
      </c>
      <c r="B5" s="21">
        <v>14643</v>
      </c>
      <c r="C5" s="21">
        <v>24294</v>
      </c>
      <c r="D5" s="21">
        <v>19362</v>
      </c>
      <c r="E5" s="20">
        <f>D5*(1+B18)</f>
        <v>22092.042000000001</v>
      </c>
      <c r="F5" s="20">
        <f t="shared" ref="F5:G5" si="0">E5*(1+C18)</f>
        <v>21628.109118</v>
      </c>
      <c r="G5" s="20">
        <f t="shared" si="0"/>
        <v>21476.712354174</v>
      </c>
    </row>
    <row r="6" spans="1:7" x14ac:dyDescent="0.3">
      <c r="A6" s="4" t="s">
        <v>39</v>
      </c>
      <c r="B6" s="21">
        <v>2746</v>
      </c>
      <c r="C6" s="21">
        <v>9951</v>
      </c>
      <c r="D6" s="21">
        <v>6247</v>
      </c>
      <c r="E6" s="20">
        <f>E5*B20</f>
        <v>8019.4112460000006</v>
      </c>
      <c r="F6" s="20">
        <f t="shared" ref="F6:G6" si="1">F5*C20</f>
        <v>7483.3257548279998</v>
      </c>
      <c r="G6" s="20">
        <f t="shared" si="1"/>
        <v>7065.8383645232461</v>
      </c>
    </row>
    <row r="7" spans="1:7" x14ac:dyDescent="0.3">
      <c r="A7" s="4" t="s">
        <v>40</v>
      </c>
      <c r="B7" s="21">
        <v>628</v>
      </c>
      <c r="C7" s="21">
        <v>2106</v>
      </c>
      <c r="D7" s="21">
        <v>1353</v>
      </c>
      <c r="E7" s="20">
        <f>E6*B21</f>
        <v>1740.2122403820001</v>
      </c>
      <c r="F7" s="20">
        <f t="shared" ref="F7:G7" si="2">F6*C21</f>
        <v>1623.8816887976759</v>
      </c>
      <c r="G7" s="20">
        <f t="shared" si="2"/>
        <v>1533.2869251015445</v>
      </c>
    </row>
    <row r="8" spans="1:7" x14ac:dyDescent="0.3">
      <c r="A8" s="4" t="s">
        <v>41</v>
      </c>
      <c r="B8" s="21">
        <v>2118</v>
      </c>
      <c r="C8" s="21">
        <v>7845</v>
      </c>
      <c r="D8" s="21">
        <v>4894</v>
      </c>
      <c r="E8" s="20">
        <f>E6-E7</f>
        <v>6279.1990056180002</v>
      </c>
      <c r="F8" s="20">
        <f t="shared" ref="F8:G8" si="3">F6-F7</f>
        <v>5859.4440660303244</v>
      </c>
      <c r="G8" s="20">
        <f t="shared" si="3"/>
        <v>5532.5514394217016</v>
      </c>
    </row>
    <row r="9" spans="1:7" ht="28.8" x14ac:dyDescent="0.3">
      <c r="A9" s="4" t="s">
        <v>42</v>
      </c>
      <c r="B9" s="21">
        <v>246</v>
      </c>
      <c r="C9" s="21">
        <v>252</v>
      </c>
      <c r="D9" s="21">
        <v>242</v>
      </c>
      <c r="E9" s="20">
        <f>D9*(1-B22)</f>
        <v>234.73999999999998</v>
      </c>
      <c r="F9" s="20">
        <f t="shared" ref="F9:G9" si="4">E9*(1-C22)</f>
        <v>234.73999999999998</v>
      </c>
      <c r="G9" s="20">
        <f t="shared" si="4"/>
        <v>234.73999999999998</v>
      </c>
    </row>
    <row r="10" spans="1:7" x14ac:dyDescent="0.3">
      <c r="A10" s="4" t="s">
        <v>43</v>
      </c>
      <c r="B10" s="22">
        <v>8.61</v>
      </c>
      <c r="C10" s="22">
        <v>31.13</v>
      </c>
      <c r="D10" s="22">
        <v>20.21</v>
      </c>
      <c r="E10" s="18">
        <f>E8/E9</f>
        <v>26.749591060824745</v>
      </c>
      <c r="F10" s="18">
        <f t="shared" ref="F10:G10" si="5">F8/F9</f>
        <v>24.961421428092038</v>
      </c>
      <c r="G10" s="18">
        <f t="shared" si="5"/>
        <v>23.568848255183191</v>
      </c>
    </row>
    <row r="12" spans="1:7" ht="14.4" customHeight="1" x14ac:dyDescent="0.3"/>
    <row r="13" spans="1:7" ht="14.4" customHeight="1" x14ac:dyDescent="0.3"/>
    <row r="15" spans="1:7" ht="19.95" customHeight="1" x14ac:dyDescent="0.3">
      <c r="A15" s="64" t="s">
        <v>55</v>
      </c>
      <c r="B15" s="64"/>
      <c r="C15" s="64"/>
      <c r="D15" s="64"/>
    </row>
    <row r="16" spans="1:7" ht="19.95" customHeight="1" x14ac:dyDescent="0.3">
      <c r="A16" s="64"/>
      <c r="B16" s="64"/>
      <c r="C16" s="64"/>
      <c r="D16" s="64"/>
    </row>
    <row r="17" spans="1:4" ht="19.95" customHeight="1" x14ac:dyDescent="0.3">
      <c r="A17" s="3" t="s">
        <v>46</v>
      </c>
      <c r="B17" s="3" t="s">
        <v>35</v>
      </c>
      <c r="C17" s="3" t="s">
        <v>36</v>
      </c>
      <c r="D17" s="3" t="s">
        <v>37</v>
      </c>
    </row>
    <row r="18" spans="1:4" ht="19.95" customHeight="1" x14ac:dyDescent="0.3">
      <c r="A18" s="4" t="s">
        <v>47</v>
      </c>
      <c r="B18" s="12">
        <v>0.14099999999999999</v>
      </c>
      <c r="C18" s="12">
        <v>-2.1000000000000001E-2</v>
      </c>
      <c r="D18" s="12">
        <v>-7.0000000000000001E-3</v>
      </c>
    </row>
    <row r="19" spans="1:4" ht="19.95" customHeight="1" x14ac:dyDescent="0.3">
      <c r="A19" s="4" t="s">
        <v>56</v>
      </c>
      <c r="B19" s="12">
        <v>0.08</v>
      </c>
      <c r="C19" s="12">
        <v>7.0999999999999994E-2</v>
      </c>
      <c r="D19" s="12">
        <v>6.9000000000000006E-2</v>
      </c>
    </row>
    <row r="20" spans="1:4" ht="19.95" customHeight="1" x14ac:dyDescent="0.3">
      <c r="A20" s="4" t="s">
        <v>48</v>
      </c>
      <c r="B20" s="12">
        <v>0.36299999999999999</v>
      </c>
      <c r="C20" s="12">
        <v>0.34599999999999997</v>
      </c>
      <c r="D20" s="12">
        <v>0.32900000000000001</v>
      </c>
    </row>
    <row r="21" spans="1:4" ht="19.95" customHeight="1" x14ac:dyDescent="0.3">
      <c r="A21" s="4" t="s">
        <v>49</v>
      </c>
      <c r="B21" s="12">
        <v>0.217</v>
      </c>
      <c r="C21" s="12">
        <v>0.217</v>
      </c>
      <c r="D21" s="12">
        <v>0.217</v>
      </c>
    </row>
    <row r="22" spans="1:4" ht="19.95" customHeight="1" x14ac:dyDescent="0.3">
      <c r="A22" s="4" t="s">
        <v>51</v>
      </c>
      <c r="B22" s="12">
        <v>0.03</v>
      </c>
      <c r="C22" s="12">
        <v>0</v>
      </c>
      <c r="D22" s="12">
        <v>0</v>
      </c>
    </row>
  </sheetData>
  <mergeCells count="2">
    <mergeCell ref="A1:G2"/>
    <mergeCell ref="A15:D1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04587-190C-4C42-9D85-69A8D51C0C8E}">
  <dimension ref="A1:D32"/>
  <sheetViews>
    <sheetView topLeftCell="A14" zoomScale="80" zoomScaleNormal="80" workbookViewId="0">
      <selection activeCell="C16" sqref="C16"/>
    </sheetView>
  </sheetViews>
  <sheetFormatPr defaultRowHeight="14.4" x14ac:dyDescent="0.3"/>
  <cols>
    <col min="1" max="4" width="20.77734375" customWidth="1"/>
  </cols>
  <sheetData>
    <row r="1" spans="1:4" ht="18" customHeight="1" x14ac:dyDescent="0.3">
      <c r="A1" s="57" t="s">
        <v>57</v>
      </c>
      <c r="B1" s="57"/>
      <c r="C1" s="57"/>
      <c r="D1" s="57"/>
    </row>
    <row r="2" spans="1:4" x14ac:dyDescent="0.3">
      <c r="A2" s="57"/>
      <c r="B2" s="57"/>
      <c r="C2" s="57"/>
      <c r="D2" s="57"/>
    </row>
    <row r="3" spans="1:4" x14ac:dyDescent="0.3">
      <c r="A3" s="15" t="s">
        <v>58</v>
      </c>
      <c r="B3" s="1"/>
      <c r="C3" s="1"/>
      <c r="D3" s="1"/>
    </row>
    <row r="4" spans="1:4" x14ac:dyDescent="0.3">
      <c r="A4" s="3" t="s">
        <v>54</v>
      </c>
      <c r="B4" s="3" t="s">
        <v>35</v>
      </c>
      <c r="C4" s="3" t="s">
        <v>36</v>
      </c>
      <c r="D4" s="3" t="s">
        <v>37</v>
      </c>
    </row>
    <row r="5" spans="1:4" ht="28.8" x14ac:dyDescent="0.3">
      <c r="A5" s="4" t="s">
        <v>59</v>
      </c>
      <c r="B5" s="20">
        <f>'ExxonMobil Financials'!E8</f>
        <v>36702.401478503038</v>
      </c>
      <c r="C5" s="20">
        <f>'ExxonMobil Financials'!F8</f>
        <v>37436.449508073099</v>
      </c>
      <c r="D5" s="20">
        <f>'ExxonMobil Financials'!G8</f>
        <v>38185.178498234563</v>
      </c>
    </row>
    <row r="6" spans="1:4" ht="28.8" x14ac:dyDescent="0.3">
      <c r="A6" s="4" t="s">
        <v>60</v>
      </c>
      <c r="B6" s="20">
        <f>'Pioneer Financials'!E8</f>
        <v>6279.1990056180002</v>
      </c>
      <c r="C6" s="20">
        <f>'Pioneer Financials'!F8</f>
        <v>5859.4440660303244</v>
      </c>
      <c r="D6" s="20">
        <f>'Pioneer Financials'!G8</f>
        <v>5532.5514394217016</v>
      </c>
    </row>
    <row r="7" spans="1:4" x14ac:dyDescent="0.3">
      <c r="A7" s="4" t="s">
        <v>61</v>
      </c>
      <c r="B7" s="17">
        <f>B29</f>
        <v>0</v>
      </c>
      <c r="C7" s="17">
        <f t="shared" ref="C7:D7" si="0">C29</f>
        <v>500</v>
      </c>
      <c r="D7" s="17">
        <f t="shared" si="0"/>
        <v>1000</v>
      </c>
    </row>
    <row r="8" spans="1:4" x14ac:dyDescent="0.3">
      <c r="A8" s="4" t="s">
        <v>62</v>
      </c>
      <c r="B8" s="16">
        <f>B30</f>
        <v>0.29199999999999998</v>
      </c>
      <c r="C8" s="16">
        <f t="shared" ref="C8:D8" si="1">C30</f>
        <v>0.29199999999999998</v>
      </c>
      <c r="D8" s="16">
        <f t="shared" si="1"/>
        <v>0.29199999999999998</v>
      </c>
    </row>
    <row r="9" spans="1:4" x14ac:dyDescent="0.3">
      <c r="A9" s="4" t="s">
        <v>63</v>
      </c>
      <c r="B9" s="4">
        <f>B7*(1-B8)</f>
        <v>0</v>
      </c>
      <c r="C9" s="4">
        <f t="shared" ref="C9:D9" si="2">C7*(1-C8)</f>
        <v>354</v>
      </c>
      <c r="D9" s="4">
        <f t="shared" si="2"/>
        <v>708</v>
      </c>
    </row>
    <row r="10" spans="1:4" ht="28.8" x14ac:dyDescent="0.3">
      <c r="A10" s="23" t="s">
        <v>64</v>
      </c>
      <c r="B10" s="20">
        <f>B5+B6+B9</f>
        <v>42981.600484121038</v>
      </c>
      <c r="C10" s="20">
        <f t="shared" ref="C10:D10" si="3">C5+C6+C9</f>
        <v>43649.893574103422</v>
      </c>
      <c r="D10" s="20">
        <f t="shared" si="3"/>
        <v>44425.729937656266</v>
      </c>
    </row>
    <row r="11" spans="1:4" ht="28.8" x14ac:dyDescent="0.3">
      <c r="A11" s="4" t="s">
        <v>65</v>
      </c>
      <c r="B11" s="20">
        <f>'ExxonMobil Financials'!E9</f>
        <v>3970.96</v>
      </c>
      <c r="C11" s="20">
        <f>'ExxonMobil Financials'!F9</f>
        <v>3891.5407999999998</v>
      </c>
      <c r="D11" s="20">
        <f>'ExxonMobil Financials'!G9</f>
        <v>3813.7099839999996</v>
      </c>
    </row>
    <row r="12" spans="1:4" ht="28.8" x14ac:dyDescent="0.3">
      <c r="A12" s="4" t="s">
        <v>66</v>
      </c>
      <c r="B12" s="17">
        <f>B27*'Pioneer Financials'!E9</f>
        <v>545.39491599999997</v>
      </c>
      <c r="C12" s="17">
        <f>C27*'Pioneer Financials'!F9</f>
        <v>545.39491599999997</v>
      </c>
      <c r="D12" s="17">
        <f>D27*'Pioneer Financials'!G9</f>
        <v>545.39491599999997</v>
      </c>
    </row>
    <row r="13" spans="1:4" ht="28.8" x14ac:dyDescent="0.3">
      <c r="A13" s="23" t="s">
        <v>67</v>
      </c>
      <c r="B13" s="17">
        <f>B11+B12</f>
        <v>4516.3549160000002</v>
      </c>
      <c r="C13" s="17">
        <f t="shared" ref="C13:D13" si="4">C11+C12</f>
        <v>4436.935716</v>
      </c>
      <c r="D13" s="17">
        <f t="shared" si="4"/>
        <v>4359.1048999999994</v>
      </c>
    </row>
    <row r="14" spans="1:4" ht="28.8" x14ac:dyDescent="0.3">
      <c r="A14" s="4" t="s">
        <v>68</v>
      </c>
      <c r="B14" s="27">
        <f>B5/B11</f>
        <v>9.2427023889696791</v>
      </c>
      <c r="C14" s="27">
        <f t="shared" ref="C14:D14" si="5">C5/C11</f>
        <v>9.6199555477031371</v>
      </c>
      <c r="D14" s="27">
        <f t="shared" si="5"/>
        <v>10.012606794548164</v>
      </c>
    </row>
    <row r="15" spans="1:4" ht="28.8" x14ac:dyDescent="0.3">
      <c r="A15" s="4" t="s">
        <v>69</v>
      </c>
      <c r="B15" s="27">
        <f>B10/B13</f>
        <v>9.5168783861186341</v>
      </c>
      <c r="C15" s="27">
        <f>C10/C13</f>
        <v>9.8378467410960848</v>
      </c>
      <c r="D15" s="27">
        <f t="shared" ref="D15" si="6">D10/D13</f>
        <v>10.191479892501846</v>
      </c>
    </row>
    <row r="16" spans="1:4" ht="28.8" x14ac:dyDescent="0.3">
      <c r="A16" s="23" t="s">
        <v>70</v>
      </c>
      <c r="B16" s="19">
        <f>(B15/B14)-1</f>
        <v>2.9664051227718646E-2</v>
      </c>
      <c r="C16" s="19">
        <f t="shared" ref="C16:D16" si="7">(C15/C14)-1</f>
        <v>2.2649916864217801E-2</v>
      </c>
      <c r="D16" s="19">
        <f t="shared" si="7"/>
        <v>1.7864788024141598E-2</v>
      </c>
    </row>
    <row r="22" spans="1:4" ht="21" customHeight="1" x14ac:dyDescent="0.3">
      <c r="A22" s="57" t="s">
        <v>71</v>
      </c>
      <c r="B22" s="57"/>
      <c r="C22" s="57"/>
      <c r="D22" s="57"/>
    </row>
    <row r="23" spans="1:4" ht="17.399999999999999" customHeight="1" x14ac:dyDescent="0.3">
      <c r="A23" s="57"/>
      <c r="B23" s="57"/>
      <c r="C23" s="57"/>
      <c r="D23" s="57"/>
    </row>
    <row r="24" spans="1:4" x14ac:dyDescent="0.3">
      <c r="A24" s="15" t="s">
        <v>58</v>
      </c>
      <c r="B24" s="1"/>
      <c r="C24" s="1"/>
      <c r="D24" s="1"/>
    </row>
    <row r="25" spans="1:4" x14ac:dyDescent="0.3">
      <c r="A25" s="3" t="s">
        <v>72</v>
      </c>
      <c r="B25" s="3" t="s">
        <v>35</v>
      </c>
      <c r="C25" s="3" t="s">
        <v>36</v>
      </c>
      <c r="D25" s="3" t="s">
        <v>37</v>
      </c>
    </row>
    <row r="26" spans="1:4" x14ac:dyDescent="0.3">
      <c r="A26" s="4" t="s">
        <v>73</v>
      </c>
      <c r="B26" s="24">
        <v>234.7</v>
      </c>
      <c r="C26" s="24">
        <v>234.7</v>
      </c>
      <c r="D26" s="24">
        <v>234.7</v>
      </c>
    </row>
    <row r="27" spans="1:4" x14ac:dyDescent="0.3">
      <c r="A27" s="4" t="s">
        <v>75</v>
      </c>
      <c r="B27" s="29">
        <v>2.3233999999999999</v>
      </c>
      <c r="C27" s="29">
        <v>2.3233999999999999</v>
      </c>
      <c r="D27" s="29">
        <v>2.3233999999999999</v>
      </c>
    </row>
    <row r="28" spans="1:4" ht="28.8" x14ac:dyDescent="0.3">
      <c r="A28" s="4" t="s">
        <v>19</v>
      </c>
      <c r="B28" s="24">
        <v>545.20000000000005</v>
      </c>
      <c r="C28" s="24">
        <v>545.20000000000005</v>
      </c>
      <c r="D28" s="24">
        <v>545.20000000000005</v>
      </c>
    </row>
    <row r="29" spans="1:4" x14ac:dyDescent="0.3">
      <c r="A29" s="4" t="s">
        <v>61</v>
      </c>
      <c r="B29" s="24">
        <v>0</v>
      </c>
      <c r="C29" s="24">
        <v>500</v>
      </c>
      <c r="D29" s="25">
        <v>1000</v>
      </c>
    </row>
    <row r="30" spans="1:4" x14ac:dyDescent="0.3">
      <c r="A30" s="4" t="s">
        <v>62</v>
      </c>
      <c r="B30" s="28">
        <v>0.29199999999999998</v>
      </c>
      <c r="C30" s="28">
        <v>0.29199999999999998</v>
      </c>
      <c r="D30" s="28">
        <v>0.29199999999999998</v>
      </c>
    </row>
    <row r="31" spans="1:4" x14ac:dyDescent="0.3">
      <c r="A31" s="4" t="s">
        <v>74</v>
      </c>
      <c r="B31" s="24" t="s">
        <v>10</v>
      </c>
      <c r="C31" s="24" t="s">
        <v>10</v>
      </c>
      <c r="D31" s="24" t="s">
        <v>10</v>
      </c>
    </row>
    <row r="32" spans="1:4" x14ac:dyDescent="0.3">
      <c r="B32" s="26"/>
      <c r="C32" s="26"/>
      <c r="D32" s="26"/>
    </row>
  </sheetData>
  <mergeCells count="2">
    <mergeCell ref="A1:D2"/>
    <mergeCell ref="A22:D2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41F90-590D-40D0-AEBC-1722A132CBFC}">
  <dimension ref="A1:F30"/>
  <sheetViews>
    <sheetView topLeftCell="A16" zoomScaleNormal="100" workbookViewId="0">
      <selection activeCell="J26" sqref="J26"/>
    </sheetView>
  </sheetViews>
  <sheetFormatPr defaultRowHeight="14.4" x14ac:dyDescent="0.3"/>
  <cols>
    <col min="1" max="6" width="20.77734375" customWidth="1"/>
  </cols>
  <sheetData>
    <row r="1" spans="1:5" ht="18" customHeight="1" x14ac:dyDescent="0.3">
      <c r="A1" s="67" t="s">
        <v>93</v>
      </c>
      <c r="B1" s="67"/>
      <c r="C1" s="67"/>
      <c r="D1" s="67"/>
      <c r="E1" s="67"/>
    </row>
    <row r="2" spans="1:5" ht="18" customHeight="1" x14ac:dyDescent="0.3">
      <c r="A2" s="67"/>
      <c r="B2" s="67"/>
      <c r="C2" s="67"/>
      <c r="D2" s="67"/>
      <c r="E2" s="67"/>
    </row>
    <row r="3" spans="1:5" ht="21" customHeight="1" x14ac:dyDescent="0.3">
      <c r="A3" s="67"/>
      <c r="B3" s="67"/>
      <c r="C3" s="67"/>
      <c r="D3" s="67"/>
      <c r="E3" s="67"/>
    </row>
    <row r="4" spans="1:5" x14ac:dyDescent="0.3">
      <c r="A4" s="15" t="s">
        <v>58</v>
      </c>
      <c r="B4" s="15"/>
      <c r="C4" s="1"/>
      <c r="D4" s="1"/>
      <c r="E4" s="1"/>
    </row>
    <row r="5" spans="1:5" x14ac:dyDescent="0.3">
      <c r="A5" s="3" t="s">
        <v>76</v>
      </c>
      <c r="B5" s="33" t="s">
        <v>77</v>
      </c>
      <c r="C5" s="3" t="s">
        <v>78</v>
      </c>
    </row>
    <row r="6" spans="1:5" ht="28.8" x14ac:dyDescent="0.3">
      <c r="A6" s="4" t="s">
        <v>79</v>
      </c>
      <c r="B6" s="6">
        <v>38185.199999999997</v>
      </c>
      <c r="C6" s="34" t="s">
        <v>80</v>
      </c>
    </row>
    <row r="7" spans="1:5" ht="28.8" x14ac:dyDescent="0.3">
      <c r="A7" s="4" t="s">
        <v>60</v>
      </c>
      <c r="B7" s="6">
        <v>5532.6</v>
      </c>
      <c r="C7" s="34" t="s">
        <v>81</v>
      </c>
    </row>
    <row r="8" spans="1:5" x14ac:dyDescent="0.3">
      <c r="A8" s="4" t="s">
        <v>82</v>
      </c>
      <c r="B8" s="6">
        <v>3814</v>
      </c>
      <c r="C8" s="34" t="s">
        <v>83</v>
      </c>
    </row>
    <row r="9" spans="1:5" ht="28.8" x14ac:dyDescent="0.3">
      <c r="A9" s="4" t="s">
        <v>84</v>
      </c>
      <c r="B9" s="6">
        <v>545.20000000000005</v>
      </c>
      <c r="C9" s="34" t="s">
        <v>85</v>
      </c>
    </row>
    <row r="10" spans="1:5" ht="28.8" x14ac:dyDescent="0.3">
      <c r="A10" s="4" t="s">
        <v>86</v>
      </c>
      <c r="B10" s="6">
        <v>4359.2</v>
      </c>
      <c r="C10" s="34" t="s">
        <v>87</v>
      </c>
    </row>
    <row r="11" spans="1:5" ht="28.8" x14ac:dyDescent="0.3">
      <c r="A11" s="4" t="s">
        <v>62</v>
      </c>
      <c r="B11" s="35">
        <v>0.29199999999999998</v>
      </c>
      <c r="C11" s="34" t="s">
        <v>88</v>
      </c>
    </row>
    <row r="12" spans="1:5" ht="28.8" x14ac:dyDescent="0.3">
      <c r="A12" s="4" t="s">
        <v>89</v>
      </c>
      <c r="B12" s="6">
        <v>10.01</v>
      </c>
      <c r="C12" s="34" t="s">
        <v>90</v>
      </c>
    </row>
    <row r="13" spans="1:5" x14ac:dyDescent="0.3">
      <c r="A13" s="4" t="s">
        <v>91</v>
      </c>
      <c r="B13" s="6">
        <v>1000</v>
      </c>
      <c r="C13" s="34" t="s">
        <v>92</v>
      </c>
    </row>
    <row r="17" spans="1:6" ht="14.4" customHeight="1" x14ac:dyDescent="0.3">
      <c r="A17" s="65" t="s">
        <v>94</v>
      </c>
      <c r="B17" s="65"/>
      <c r="C17" s="65"/>
      <c r="D17" s="65"/>
      <c r="E17" s="65"/>
      <c r="F17" s="65"/>
    </row>
    <row r="18" spans="1:6" ht="14.4" customHeight="1" x14ac:dyDescent="0.3">
      <c r="A18" s="65"/>
      <c r="B18" s="65"/>
      <c r="C18" s="65"/>
      <c r="D18" s="65"/>
      <c r="E18" s="65"/>
      <c r="F18" s="65"/>
    </row>
    <row r="19" spans="1:6" ht="14.4" customHeight="1" x14ac:dyDescent="0.5">
      <c r="A19" s="66" t="s">
        <v>58</v>
      </c>
      <c r="B19" s="66"/>
      <c r="C19" s="66"/>
      <c r="D19" s="39"/>
      <c r="E19" s="39"/>
      <c r="F19" s="39"/>
    </row>
    <row r="20" spans="1:6" x14ac:dyDescent="0.3">
      <c r="A20" s="40">
        <f>B30</f>
        <v>1.8109253565300465E-2</v>
      </c>
      <c r="B20" s="38">
        <v>0</v>
      </c>
      <c r="C20" s="38">
        <v>500</v>
      </c>
      <c r="D20" s="38">
        <v>1000</v>
      </c>
      <c r="E20" s="38">
        <v>1500</v>
      </c>
      <c r="F20" s="38">
        <v>2000</v>
      </c>
    </row>
    <row r="21" spans="1:6" x14ac:dyDescent="0.3">
      <c r="A21" s="46">
        <v>4426.1000000000004</v>
      </c>
      <c r="B21" s="43">
        <v>-2.3699999999999999E-2</v>
      </c>
      <c r="C21" s="43">
        <v>-1.55E-2</v>
      </c>
      <c r="D21" s="43">
        <v>-7.4000000000000003E-3</v>
      </c>
      <c r="E21" s="43">
        <v>6.9999999999999999E-4</v>
      </c>
      <c r="F21" s="43">
        <v>8.8000000000000005E-3</v>
      </c>
    </row>
    <row r="22" spans="1:6" x14ac:dyDescent="0.3">
      <c r="A22" s="46">
        <v>4979.3</v>
      </c>
      <c r="B22" s="43">
        <v>-1.0999999999999999E-2</v>
      </c>
      <c r="C22" s="43">
        <v>-2.8999999999999998E-3</v>
      </c>
      <c r="D22" s="44" t="s">
        <v>99</v>
      </c>
      <c r="E22" s="43">
        <v>1.34E-2</v>
      </c>
      <c r="F22" s="43">
        <v>2.1499999999999998E-2</v>
      </c>
    </row>
    <row r="23" spans="1:6" x14ac:dyDescent="0.3">
      <c r="A23" s="46">
        <v>5532.6</v>
      </c>
      <c r="B23" s="43">
        <v>1.6999999999999999E-3</v>
      </c>
      <c r="C23" s="43">
        <v>9.7999999999999997E-3</v>
      </c>
      <c r="D23" s="43">
        <v>1.7899999999999999E-2</v>
      </c>
      <c r="E23" s="43">
        <v>2.5999999999999999E-2</v>
      </c>
      <c r="F23" s="43">
        <v>3.4099999999999998E-2</v>
      </c>
    </row>
    <row r="24" spans="1:6" x14ac:dyDescent="0.3">
      <c r="A24" s="46">
        <v>6085.9</v>
      </c>
      <c r="B24" s="43">
        <v>1.44E-2</v>
      </c>
      <c r="C24" s="43">
        <v>2.2499999999999999E-2</v>
      </c>
      <c r="D24" s="43">
        <v>3.0599999999999999E-2</v>
      </c>
      <c r="E24" s="43">
        <v>3.8699999999999998E-2</v>
      </c>
      <c r="F24" s="43">
        <v>4.6800000000000001E-2</v>
      </c>
    </row>
    <row r="25" spans="1:6" x14ac:dyDescent="0.3">
      <c r="A25" s="46">
        <v>6639.1</v>
      </c>
      <c r="B25" s="45">
        <v>2.7099999999999999E-2</v>
      </c>
      <c r="C25" s="45">
        <v>3.5200000000000002E-2</v>
      </c>
      <c r="D25" s="45">
        <v>5.1400000000000001E-2</v>
      </c>
      <c r="E25" s="45">
        <v>5.1400000000000001E-2</v>
      </c>
      <c r="F25" s="45">
        <v>5.9499999999999997E-2</v>
      </c>
    </row>
    <row r="27" spans="1:6" x14ac:dyDescent="0.3">
      <c r="A27" s="3" t="s">
        <v>96</v>
      </c>
      <c r="B27" s="3" t="s">
        <v>4</v>
      </c>
    </row>
    <row r="28" spans="1:6" ht="28.8" x14ac:dyDescent="0.3">
      <c r="A28" s="4" t="s">
        <v>95</v>
      </c>
      <c r="B28" s="37">
        <v>5532.6</v>
      </c>
    </row>
    <row r="29" spans="1:6" x14ac:dyDescent="0.3">
      <c r="A29" s="4" t="s">
        <v>97</v>
      </c>
      <c r="B29" s="42">
        <v>1000</v>
      </c>
    </row>
    <row r="30" spans="1:6" ht="28.8" x14ac:dyDescent="0.3">
      <c r="A30" s="4" t="s">
        <v>98</v>
      </c>
      <c r="B30" s="16">
        <f>(((38185.2+B7+B29*(1-B11))/B10)/B12)-1</f>
        <v>1.8109253565300465E-2</v>
      </c>
    </row>
  </sheetData>
  <mergeCells count="3">
    <mergeCell ref="A17:F18"/>
    <mergeCell ref="A19:C19"/>
    <mergeCell ref="A1:E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73596-EB9A-4277-9FDA-2B9D386F55EA}">
  <dimension ref="A1:M39"/>
  <sheetViews>
    <sheetView topLeftCell="A12" zoomScale="80" zoomScaleNormal="80" workbookViewId="0">
      <selection activeCell="B37" sqref="B37"/>
    </sheetView>
  </sheetViews>
  <sheetFormatPr defaultRowHeight="14.4" x14ac:dyDescent="0.3"/>
  <cols>
    <col min="1" max="2" width="40.77734375" customWidth="1"/>
    <col min="3" max="3" width="25.77734375" customWidth="1"/>
    <col min="7" max="13" width="20.77734375" customWidth="1"/>
  </cols>
  <sheetData>
    <row r="1" spans="1:13" ht="31.2" customHeight="1" x14ac:dyDescent="0.3">
      <c r="A1" s="71" t="s">
        <v>100</v>
      </c>
      <c r="B1" s="71"/>
      <c r="C1" s="71"/>
      <c r="D1" s="71"/>
      <c r="E1" s="71"/>
      <c r="F1" s="71"/>
      <c r="G1" s="71"/>
      <c r="J1" s="69" t="s">
        <v>121</v>
      </c>
      <c r="K1" s="69"/>
      <c r="L1" s="69"/>
      <c r="M1" s="69"/>
    </row>
    <row r="2" spans="1:13" ht="14.4" customHeight="1" x14ac:dyDescent="0.3">
      <c r="A2" s="71"/>
      <c r="B2" s="71"/>
      <c r="C2" s="71"/>
      <c r="D2" s="71"/>
      <c r="E2" s="71"/>
      <c r="F2" s="71"/>
      <c r="G2" s="71"/>
      <c r="J2" s="69"/>
      <c r="K2" s="69"/>
      <c r="L2" s="69"/>
      <c r="M2" s="69"/>
    </row>
    <row r="3" spans="1:13" ht="19.95" customHeight="1" x14ac:dyDescent="0.3">
      <c r="A3" s="71"/>
      <c r="B3" s="71"/>
      <c r="C3" s="71"/>
      <c r="D3" s="71"/>
      <c r="E3" s="71"/>
      <c r="F3" s="71"/>
      <c r="G3" s="71"/>
      <c r="J3" s="70" t="s">
        <v>141</v>
      </c>
      <c r="K3" s="70"/>
      <c r="L3" s="70"/>
      <c r="M3" s="70"/>
    </row>
    <row r="4" spans="1:13" x14ac:dyDescent="0.3">
      <c r="A4" s="15" t="s">
        <v>141</v>
      </c>
      <c r="B4" s="1"/>
      <c r="C4" s="1"/>
      <c r="D4" s="1"/>
      <c r="J4" s="3" t="s">
        <v>122</v>
      </c>
      <c r="K4" s="3" t="s">
        <v>35</v>
      </c>
      <c r="L4" s="3" t="s">
        <v>36</v>
      </c>
      <c r="M4" s="3" t="s">
        <v>37</v>
      </c>
    </row>
    <row r="5" spans="1:13" ht="28.8" x14ac:dyDescent="0.3">
      <c r="A5" s="47" t="s">
        <v>101</v>
      </c>
      <c r="B5" s="36"/>
      <c r="C5" s="36"/>
      <c r="J5" s="4" t="s">
        <v>79</v>
      </c>
      <c r="K5" s="20">
        <v>36702.400000000001</v>
      </c>
      <c r="L5" s="20">
        <v>37436.400000000001</v>
      </c>
      <c r="M5" s="20">
        <v>38185.199999999997</v>
      </c>
    </row>
    <row r="6" spans="1:13" ht="28.8" x14ac:dyDescent="0.3">
      <c r="A6" s="3" t="s">
        <v>102</v>
      </c>
      <c r="B6" s="3" t="s">
        <v>4</v>
      </c>
      <c r="C6" s="3" t="s">
        <v>103</v>
      </c>
      <c r="J6" s="4" t="s">
        <v>60</v>
      </c>
      <c r="K6" s="20">
        <v>6279.2</v>
      </c>
      <c r="L6" s="20">
        <v>5859.4</v>
      </c>
      <c r="M6" s="20">
        <v>5532.6</v>
      </c>
    </row>
    <row r="7" spans="1:13" x14ac:dyDescent="0.3">
      <c r="A7" s="4" t="s">
        <v>5</v>
      </c>
      <c r="B7" s="34" t="s">
        <v>6</v>
      </c>
      <c r="C7" s="4" t="s">
        <v>104</v>
      </c>
      <c r="J7" s="4" t="s">
        <v>61</v>
      </c>
      <c r="K7" s="37">
        <v>0</v>
      </c>
      <c r="L7" s="20">
        <v>500</v>
      </c>
      <c r="M7" s="20">
        <v>1000</v>
      </c>
    </row>
    <row r="8" spans="1:13" ht="28.8" customHeight="1" x14ac:dyDescent="0.3">
      <c r="A8" s="4" t="s">
        <v>7</v>
      </c>
      <c r="B8" s="34" t="s">
        <v>8</v>
      </c>
      <c r="C8" s="4" t="s">
        <v>105</v>
      </c>
      <c r="J8" s="4" t="s">
        <v>62</v>
      </c>
      <c r="K8" s="19">
        <v>0.29199999999999998</v>
      </c>
      <c r="L8" s="19">
        <v>0.29199999999999998</v>
      </c>
      <c r="M8" s="19">
        <v>0.29199999999999998</v>
      </c>
    </row>
    <row r="9" spans="1:13" x14ac:dyDescent="0.3">
      <c r="A9" s="4" t="s">
        <v>9</v>
      </c>
      <c r="B9" s="34" t="s">
        <v>10</v>
      </c>
      <c r="C9" s="4" t="s">
        <v>106</v>
      </c>
      <c r="J9" s="4" t="s">
        <v>63</v>
      </c>
      <c r="K9" s="20">
        <v>0</v>
      </c>
      <c r="L9" s="20">
        <v>354</v>
      </c>
      <c r="M9" s="20">
        <v>708</v>
      </c>
    </row>
    <row r="10" spans="1:13" ht="28.8" x14ac:dyDescent="0.3">
      <c r="A10" s="4" t="s">
        <v>107</v>
      </c>
      <c r="B10" s="49">
        <v>59500</v>
      </c>
      <c r="C10" s="4" t="s">
        <v>108</v>
      </c>
      <c r="J10" s="4" t="s">
        <v>64</v>
      </c>
      <c r="K10" s="20">
        <v>42981.599999999999</v>
      </c>
      <c r="L10" s="20">
        <v>43649.8</v>
      </c>
      <c r="M10" s="20">
        <v>44425.8</v>
      </c>
    </row>
    <row r="11" spans="1:13" ht="28.8" x14ac:dyDescent="0.3">
      <c r="A11" s="4" t="s">
        <v>12</v>
      </c>
      <c r="B11" s="34" t="s">
        <v>120</v>
      </c>
      <c r="C11" s="4" t="s">
        <v>109</v>
      </c>
      <c r="J11" s="4" t="s">
        <v>82</v>
      </c>
      <c r="K11" s="20">
        <v>3971</v>
      </c>
      <c r="L11" s="20">
        <v>3892</v>
      </c>
      <c r="M11" s="20">
        <v>3814</v>
      </c>
    </row>
    <row r="12" spans="1:13" ht="43.2" customHeight="1" x14ac:dyDescent="0.3">
      <c r="A12" s="4" t="s">
        <v>110</v>
      </c>
      <c r="B12" s="48">
        <v>215</v>
      </c>
      <c r="C12" s="4" t="s">
        <v>111</v>
      </c>
      <c r="J12" s="4" t="s">
        <v>84</v>
      </c>
      <c r="K12" s="20">
        <v>545.20000000000005</v>
      </c>
      <c r="L12" s="20">
        <v>545.20000000000005</v>
      </c>
      <c r="M12" s="20">
        <v>545.20000000000005</v>
      </c>
    </row>
    <row r="13" spans="1:13" ht="28.8" x14ac:dyDescent="0.3">
      <c r="A13" s="4" t="s">
        <v>15</v>
      </c>
      <c r="B13" s="48">
        <v>253.2</v>
      </c>
      <c r="C13" s="4" t="s">
        <v>112</v>
      </c>
      <c r="J13" s="4" t="s">
        <v>86</v>
      </c>
      <c r="K13" s="20">
        <v>4516.2</v>
      </c>
      <c r="L13" s="20">
        <v>4437.2</v>
      </c>
      <c r="M13" s="20">
        <v>4359.2</v>
      </c>
    </row>
    <row r="14" spans="1:13" ht="28.8" x14ac:dyDescent="0.3">
      <c r="A14" s="4" t="s">
        <v>16</v>
      </c>
      <c r="B14" s="51">
        <v>0.17799999999999999</v>
      </c>
      <c r="C14" s="4" t="s">
        <v>113</v>
      </c>
      <c r="J14" s="4" t="s">
        <v>89</v>
      </c>
      <c r="K14" s="20">
        <v>9.24</v>
      </c>
      <c r="L14" s="20">
        <v>9.6199999999999992</v>
      </c>
      <c r="M14" s="20">
        <v>10.01</v>
      </c>
    </row>
    <row r="15" spans="1:13" ht="43.2" customHeight="1" x14ac:dyDescent="0.3">
      <c r="A15" s="4" t="s">
        <v>73</v>
      </c>
      <c r="B15" s="34">
        <v>234.7</v>
      </c>
      <c r="C15" s="4" t="s">
        <v>114</v>
      </c>
      <c r="J15" s="4" t="s">
        <v>123</v>
      </c>
      <c r="K15" s="20">
        <v>9.52</v>
      </c>
      <c r="L15" s="20">
        <v>9.84</v>
      </c>
      <c r="M15" s="20">
        <v>10.19</v>
      </c>
    </row>
    <row r="16" spans="1:13" ht="28.8" x14ac:dyDescent="0.3">
      <c r="A16" s="4" t="s">
        <v>19</v>
      </c>
      <c r="B16" s="34">
        <v>545.20000000000005</v>
      </c>
      <c r="C16" s="4" t="s">
        <v>85</v>
      </c>
      <c r="J16" s="4" t="s">
        <v>124</v>
      </c>
      <c r="K16" s="52">
        <v>2.9499999999999998E-2</v>
      </c>
      <c r="L16" s="52">
        <v>2.2700000000000001E-2</v>
      </c>
      <c r="M16" s="52">
        <v>1.7899999999999999E-2</v>
      </c>
    </row>
    <row r="17" spans="1:11" ht="28.8" x14ac:dyDescent="0.3">
      <c r="A17" s="4" t="s">
        <v>20</v>
      </c>
      <c r="B17" s="50">
        <v>4052</v>
      </c>
      <c r="C17" s="4" t="s">
        <v>115</v>
      </c>
    </row>
    <row r="18" spans="1:11" ht="28.8" x14ac:dyDescent="0.3">
      <c r="A18" s="4" t="s">
        <v>116</v>
      </c>
      <c r="B18" s="50">
        <v>4597.2</v>
      </c>
      <c r="C18" s="4" t="s">
        <v>117</v>
      </c>
    </row>
    <row r="19" spans="1:11" ht="43.2" customHeight="1" x14ac:dyDescent="0.3">
      <c r="A19" s="4" t="s">
        <v>118</v>
      </c>
      <c r="B19" s="51">
        <v>0.11899999999999999</v>
      </c>
      <c r="C19" s="4" t="s">
        <v>119</v>
      </c>
    </row>
    <row r="26" spans="1:11" ht="14.4" customHeight="1" x14ac:dyDescent="0.3">
      <c r="G26" s="68" t="s">
        <v>142</v>
      </c>
      <c r="H26" s="68"/>
      <c r="I26" s="68"/>
      <c r="J26" s="68"/>
      <c r="K26" s="68"/>
    </row>
    <row r="27" spans="1:11" ht="21" x14ac:dyDescent="0.3">
      <c r="A27" s="57" t="s">
        <v>125</v>
      </c>
      <c r="B27" s="57"/>
      <c r="G27" s="68"/>
      <c r="H27" s="68"/>
      <c r="I27" s="68"/>
      <c r="J27" s="68"/>
      <c r="K27" s="68"/>
    </row>
    <row r="28" spans="1:11" x14ac:dyDescent="0.3">
      <c r="A28" s="1" t="s">
        <v>141</v>
      </c>
      <c r="B28" s="1"/>
      <c r="G28" s="1" t="s">
        <v>141</v>
      </c>
      <c r="H28" s="1"/>
      <c r="I28" s="1"/>
      <c r="J28" s="1"/>
      <c r="K28" s="1"/>
    </row>
    <row r="29" spans="1:11" x14ac:dyDescent="0.3">
      <c r="A29" s="3" t="s">
        <v>126</v>
      </c>
      <c r="B29" s="3" t="s">
        <v>127</v>
      </c>
      <c r="G29" s="3" t="s">
        <v>143</v>
      </c>
      <c r="H29" s="3" t="s">
        <v>144</v>
      </c>
      <c r="I29" s="56" t="s">
        <v>145</v>
      </c>
      <c r="J29" s="36"/>
      <c r="K29" s="36"/>
    </row>
    <row r="30" spans="1:11" x14ac:dyDescent="0.3">
      <c r="A30" s="4" t="s">
        <v>128</v>
      </c>
      <c r="B30" s="54">
        <v>-2.3699999999999999E-2</v>
      </c>
      <c r="G30" s="4" t="s">
        <v>146</v>
      </c>
      <c r="H30" s="4" t="s">
        <v>147</v>
      </c>
      <c r="I30" s="55" t="s">
        <v>148</v>
      </c>
      <c r="J30" s="36"/>
      <c r="K30" s="36"/>
    </row>
    <row r="31" spans="1:11" x14ac:dyDescent="0.3">
      <c r="A31" s="4" t="s">
        <v>129</v>
      </c>
      <c r="B31" s="54">
        <v>1.7899999999999999E-2</v>
      </c>
      <c r="G31" s="4" t="s">
        <v>146</v>
      </c>
      <c r="H31" s="4" t="s">
        <v>149</v>
      </c>
      <c r="I31" s="55" t="s">
        <v>150</v>
      </c>
      <c r="J31" s="36"/>
      <c r="K31" s="36"/>
    </row>
    <row r="32" spans="1:11" x14ac:dyDescent="0.3">
      <c r="A32" s="4" t="s">
        <v>130</v>
      </c>
      <c r="B32" s="54">
        <v>5.9499999999999997E-2</v>
      </c>
      <c r="G32" s="4" t="s">
        <v>146</v>
      </c>
      <c r="H32" s="4" t="s">
        <v>151</v>
      </c>
      <c r="I32" s="55" t="s">
        <v>152</v>
      </c>
      <c r="J32" s="36"/>
      <c r="K32" s="36"/>
    </row>
    <row r="33" spans="1:11" x14ac:dyDescent="0.3">
      <c r="A33" s="4" t="s">
        <v>131</v>
      </c>
      <c r="B33" s="34" t="s">
        <v>132</v>
      </c>
      <c r="G33" s="4" t="s">
        <v>146</v>
      </c>
      <c r="H33" s="4" t="s">
        <v>153</v>
      </c>
      <c r="I33" s="55" t="s">
        <v>154</v>
      </c>
      <c r="J33" s="36"/>
      <c r="K33" s="36"/>
    </row>
    <row r="34" spans="1:11" x14ac:dyDescent="0.3">
      <c r="A34" s="4" t="s">
        <v>133</v>
      </c>
      <c r="B34" s="34" t="s">
        <v>134</v>
      </c>
      <c r="G34" s="4" t="s">
        <v>146</v>
      </c>
      <c r="H34" s="4" t="s">
        <v>155</v>
      </c>
      <c r="I34" s="55" t="s">
        <v>156</v>
      </c>
      <c r="J34" s="36"/>
      <c r="K34" s="36"/>
    </row>
    <row r="35" spans="1:11" x14ac:dyDescent="0.3">
      <c r="A35" s="4" t="s">
        <v>135</v>
      </c>
      <c r="B35" s="34" t="s">
        <v>136</v>
      </c>
      <c r="G35" s="4" t="s">
        <v>157</v>
      </c>
      <c r="H35" s="4" t="s">
        <v>158</v>
      </c>
      <c r="I35" s="55" t="s">
        <v>159</v>
      </c>
      <c r="J35" s="36"/>
      <c r="K35" s="36"/>
    </row>
    <row r="36" spans="1:11" ht="28.8" x14ac:dyDescent="0.3">
      <c r="A36" s="4" t="s">
        <v>137</v>
      </c>
      <c r="B36" s="34" t="s">
        <v>138</v>
      </c>
      <c r="G36" s="4" t="s">
        <v>157</v>
      </c>
      <c r="H36" s="4" t="s">
        <v>160</v>
      </c>
      <c r="I36" s="55" t="s">
        <v>161</v>
      </c>
      <c r="J36" s="36"/>
      <c r="K36" s="36"/>
    </row>
    <row r="37" spans="1:11" ht="28.8" x14ac:dyDescent="0.3">
      <c r="A37" s="4" t="s">
        <v>139</v>
      </c>
      <c r="B37" s="34" t="s">
        <v>140</v>
      </c>
      <c r="G37" s="4" t="s">
        <v>157</v>
      </c>
      <c r="H37" s="4" t="s">
        <v>162</v>
      </c>
      <c r="I37" s="55" t="s">
        <v>163</v>
      </c>
      <c r="J37" s="36"/>
      <c r="K37" s="36"/>
    </row>
    <row r="38" spans="1:11" ht="28.8" x14ac:dyDescent="0.3">
      <c r="G38" s="4" t="s">
        <v>157</v>
      </c>
      <c r="H38" s="4" t="s">
        <v>164</v>
      </c>
      <c r="I38" s="55" t="s">
        <v>165</v>
      </c>
      <c r="J38" s="36"/>
      <c r="K38" s="36"/>
    </row>
    <row r="39" spans="1:11" x14ac:dyDescent="0.3">
      <c r="G39" s="4" t="s">
        <v>157</v>
      </c>
      <c r="H39" s="4" t="s">
        <v>166</v>
      </c>
      <c r="I39" s="55" t="s">
        <v>167</v>
      </c>
      <c r="J39" s="36"/>
      <c r="K39" s="36"/>
    </row>
  </sheetData>
  <mergeCells count="5">
    <mergeCell ref="G26:K27"/>
    <mergeCell ref="J1:M2"/>
    <mergeCell ref="J3:M3"/>
    <mergeCell ref="A1:G3"/>
    <mergeCell ref="A27:B27"/>
  </mergeCells>
  <pageMargins left="0.7" right="0.7" top="0.75" bottom="0.75" header="0.3" footer="0.3"/>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784CA-9D76-49A0-913E-75F29FE3C739}">
  <dimension ref="A1:Q10"/>
  <sheetViews>
    <sheetView workbookViewId="0">
      <selection activeCell="E16" sqref="E16"/>
    </sheetView>
  </sheetViews>
  <sheetFormatPr defaultRowHeight="14.4" x14ac:dyDescent="0.3"/>
  <cols>
    <col min="1" max="2" width="20.77734375" customWidth="1"/>
  </cols>
  <sheetData>
    <row r="1" spans="1:17" ht="18" customHeight="1" x14ac:dyDescent="0.3"/>
    <row r="2" spans="1:17" x14ac:dyDescent="0.3">
      <c r="A2" s="64" t="s">
        <v>168</v>
      </c>
      <c r="B2" s="64"/>
      <c r="E2" s="72" t="s">
        <v>168</v>
      </c>
      <c r="F2" s="72"/>
      <c r="G2" s="72"/>
      <c r="H2" s="72"/>
      <c r="I2" s="72"/>
      <c r="J2" s="72"/>
      <c r="K2" s="72"/>
      <c r="L2" s="72"/>
      <c r="M2" s="72"/>
      <c r="N2" s="72"/>
      <c r="O2" s="72"/>
      <c r="P2" s="72"/>
      <c r="Q2" s="72"/>
    </row>
    <row r="3" spans="1:17" ht="14.4" customHeight="1" x14ac:dyDescent="0.3">
      <c r="A3" s="64"/>
      <c r="B3" s="64"/>
      <c r="E3" s="72"/>
      <c r="F3" s="72"/>
      <c r="G3" s="72"/>
      <c r="H3" s="72"/>
      <c r="I3" s="72"/>
      <c r="J3" s="72"/>
      <c r="K3" s="72"/>
      <c r="L3" s="72"/>
      <c r="M3" s="72"/>
      <c r="N3" s="72"/>
      <c r="O3" s="72"/>
      <c r="P3" s="72"/>
      <c r="Q3" s="72"/>
    </row>
    <row r="4" spans="1:17" ht="14.4" customHeight="1" x14ac:dyDescent="0.3">
      <c r="A4" s="64"/>
      <c r="B4" s="64"/>
      <c r="E4" s="72"/>
      <c r="F4" s="72"/>
      <c r="G4" s="72"/>
      <c r="H4" s="72"/>
      <c r="I4" s="72"/>
      <c r="J4" s="72"/>
      <c r="K4" s="72"/>
      <c r="L4" s="72"/>
      <c r="M4" s="72"/>
      <c r="N4" s="72"/>
      <c r="O4" s="72"/>
      <c r="P4" s="72"/>
      <c r="Q4" s="72"/>
    </row>
    <row r="5" spans="1:17" x14ac:dyDescent="0.3">
      <c r="A5" s="3" t="s">
        <v>169</v>
      </c>
      <c r="B5" s="3" t="s">
        <v>170</v>
      </c>
    </row>
    <row r="6" spans="1:17" ht="43.2" x14ac:dyDescent="0.3">
      <c r="A6" s="4" t="s">
        <v>171</v>
      </c>
      <c r="B6" s="4" t="s">
        <v>172</v>
      </c>
    </row>
    <row r="7" spans="1:17" ht="57.6" x14ac:dyDescent="0.3">
      <c r="A7" s="4" t="s">
        <v>173</v>
      </c>
      <c r="B7" s="4" t="s">
        <v>174</v>
      </c>
    </row>
    <row r="8" spans="1:17" ht="43.2" x14ac:dyDescent="0.3">
      <c r="A8" s="4" t="s">
        <v>175</v>
      </c>
      <c r="B8" s="4" t="s">
        <v>176</v>
      </c>
    </row>
    <row r="9" spans="1:17" ht="28.8" x14ac:dyDescent="0.3">
      <c r="A9" s="4" t="s">
        <v>177</v>
      </c>
      <c r="B9" s="4" t="s">
        <v>178</v>
      </c>
    </row>
    <row r="10" spans="1:17" ht="86.4" x14ac:dyDescent="0.3">
      <c r="A10" s="4" t="s">
        <v>179</v>
      </c>
      <c r="B10" s="4" t="s">
        <v>180</v>
      </c>
    </row>
  </sheetData>
  <mergeCells count="2">
    <mergeCell ref="E2:Q4"/>
    <mergeCell ref="A2:B4"/>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2C8B4-57C7-440C-8B4E-7116A8D59215}">
  <dimension ref="A2:L46"/>
  <sheetViews>
    <sheetView workbookViewId="0">
      <selection activeCell="B23" sqref="B23"/>
    </sheetView>
  </sheetViews>
  <sheetFormatPr defaultRowHeight="14.4" x14ac:dyDescent="0.3"/>
  <cols>
    <col min="1" max="1" width="27.5546875" bestFit="1" customWidth="1"/>
    <col min="2" max="2" width="20.77734375" customWidth="1"/>
    <col min="3" max="3" width="10.77734375" bestFit="1" customWidth="1"/>
    <col min="4" max="4" width="12.21875" bestFit="1" customWidth="1"/>
    <col min="5" max="6" width="10.44140625" customWidth="1"/>
    <col min="7" max="7" width="29.77734375" customWidth="1"/>
    <col min="8" max="12" width="10.44140625" customWidth="1"/>
  </cols>
  <sheetData>
    <row r="2" spans="1:12" ht="18" x14ac:dyDescent="0.3">
      <c r="A2" s="30" t="s">
        <v>191</v>
      </c>
      <c r="B2" t="s">
        <v>192</v>
      </c>
      <c r="C2" t="s">
        <v>193</v>
      </c>
      <c r="D2" t="s">
        <v>194</v>
      </c>
      <c r="G2" s="30"/>
    </row>
    <row r="3" spans="1:12" ht="18" x14ac:dyDescent="0.3">
      <c r="A3" s="30" t="s">
        <v>181</v>
      </c>
    </row>
    <row r="4" spans="1:12" x14ac:dyDescent="0.3">
      <c r="G4" s="31"/>
      <c r="H4" s="31"/>
      <c r="I4" s="31"/>
      <c r="J4" s="31"/>
      <c r="K4" s="31"/>
      <c r="L4" s="31"/>
    </row>
    <row r="5" spans="1:12" x14ac:dyDescent="0.3">
      <c r="A5" s="31" t="s">
        <v>143</v>
      </c>
      <c r="B5" s="31" t="s">
        <v>54</v>
      </c>
      <c r="C5" s="31" t="s">
        <v>4</v>
      </c>
      <c r="D5" s="31" t="s">
        <v>182</v>
      </c>
      <c r="G5" s="32"/>
      <c r="H5" s="32"/>
      <c r="I5" s="32"/>
      <c r="J5" s="32"/>
      <c r="K5" s="32"/>
      <c r="L5" s="32"/>
    </row>
    <row r="6" spans="1:12" x14ac:dyDescent="0.3">
      <c r="A6" s="32" t="s">
        <v>183</v>
      </c>
      <c r="B6" s="32" t="s">
        <v>11</v>
      </c>
      <c r="C6" s="32">
        <v>59500</v>
      </c>
      <c r="D6" s="32" t="s">
        <v>184</v>
      </c>
      <c r="G6" s="32"/>
      <c r="H6" s="32"/>
      <c r="I6" s="32"/>
      <c r="J6" s="32"/>
      <c r="K6" s="32"/>
      <c r="L6" s="32"/>
    </row>
    <row r="7" spans="1:12" x14ac:dyDescent="0.3">
      <c r="A7" s="32" t="s">
        <v>183</v>
      </c>
      <c r="B7" s="32" t="s">
        <v>12</v>
      </c>
      <c r="C7" s="32">
        <v>2.3233999999999999</v>
      </c>
      <c r="D7" s="32" t="s">
        <v>185</v>
      </c>
      <c r="G7" s="32"/>
      <c r="H7" s="32"/>
      <c r="I7" s="32"/>
      <c r="J7" s="32"/>
      <c r="K7" s="32"/>
      <c r="L7" s="32"/>
    </row>
    <row r="8" spans="1:12" ht="28.8" x14ac:dyDescent="0.3">
      <c r="A8" s="32" t="s">
        <v>183</v>
      </c>
      <c r="B8" s="32" t="s">
        <v>14</v>
      </c>
      <c r="C8" s="32">
        <v>214.96</v>
      </c>
      <c r="D8" s="32" t="s">
        <v>186</v>
      </c>
      <c r="G8" s="32"/>
      <c r="H8" s="32"/>
      <c r="I8" s="32"/>
      <c r="J8" s="32"/>
      <c r="K8" s="32"/>
      <c r="L8" s="32"/>
    </row>
    <row r="9" spans="1:12" x14ac:dyDescent="0.3">
      <c r="A9" s="32" t="s">
        <v>183</v>
      </c>
      <c r="B9" s="32" t="s">
        <v>15</v>
      </c>
      <c r="C9" s="32">
        <v>253.23</v>
      </c>
      <c r="D9" s="32" t="s">
        <v>186</v>
      </c>
      <c r="G9" s="32"/>
      <c r="H9" s="32"/>
      <c r="I9" s="32"/>
      <c r="J9" s="32"/>
      <c r="K9" s="32"/>
      <c r="L9" s="32"/>
    </row>
    <row r="10" spans="1:12" x14ac:dyDescent="0.3">
      <c r="A10" s="32" t="s">
        <v>183</v>
      </c>
      <c r="B10" s="32" t="s">
        <v>16</v>
      </c>
      <c r="C10" s="41">
        <v>0.17799999999999999</v>
      </c>
      <c r="D10" s="32" t="s">
        <v>187</v>
      </c>
      <c r="G10" s="32"/>
      <c r="H10" s="32"/>
      <c r="I10" s="32"/>
      <c r="J10" s="32"/>
      <c r="K10" s="32"/>
      <c r="L10" s="32"/>
    </row>
    <row r="11" spans="1:12" x14ac:dyDescent="0.3">
      <c r="A11" s="32" t="s">
        <v>23</v>
      </c>
      <c r="B11" s="32" t="s">
        <v>73</v>
      </c>
      <c r="C11" s="32">
        <v>234.7</v>
      </c>
      <c r="D11" s="32" t="s">
        <v>188</v>
      </c>
      <c r="G11" s="32"/>
      <c r="H11" s="32"/>
      <c r="I11" s="32"/>
      <c r="J11" s="32"/>
      <c r="K11" s="32"/>
      <c r="L11" s="32"/>
    </row>
    <row r="12" spans="1:12" ht="28.8" x14ac:dyDescent="0.3">
      <c r="A12" s="32" t="s">
        <v>23</v>
      </c>
      <c r="B12" s="32" t="s">
        <v>19</v>
      </c>
      <c r="C12" s="32">
        <v>545.20000000000005</v>
      </c>
      <c r="D12" s="32" t="s">
        <v>188</v>
      </c>
      <c r="G12" s="32"/>
      <c r="H12" s="32"/>
      <c r="I12" s="32"/>
      <c r="J12" s="32"/>
      <c r="K12" s="32"/>
      <c r="L12" s="32"/>
    </row>
    <row r="13" spans="1:12" x14ac:dyDescent="0.3">
      <c r="A13" s="32" t="s">
        <v>23</v>
      </c>
      <c r="B13" s="32" t="s">
        <v>20</v>
      </c>
      <c r="C13" s="32">
        <v>4052</v>
      </c>
      <c r="D13" s="32" t="s">
        <v>188</v>
      </c>
      <c r="G13" s="32"/>
      <c r="H13" s="32"/>
      <c r="I13" s="32"/>
      <c r="J13" s="32"/>
      <c r="K13" s="32"/>
      <c r="L13" s="32"/>
    </row>
    <row r="14" spans="1:12" x14ac:dyDescent="0.3">
      <c r="A14" s="32" t="s">
        <v>23</v>
      </c>
      <c r="B14" s="32" t="s">
        <v>21</v>
      </c>
      <c r="C14" s="32">
        <v>4597.2</v>
      </c>
      <c r="D14" s="32" t="s">
        <v>188</v>
      </c>
      <c r="G14" s="32"/>
      <c r="H14" s="32"/>
      <c r="I14" s="32"/>
      <c r="J14" s="32"/>
      <c r="K14" s="32"/>
      <c r="L14" s="32"/>
    </row>
    <row r="15" spans="1:12" x14ac:dyDescent="0.3">
      <c r="A15" s="32" t="s">
        <v>23</v>
      </c>
      <c r="B15" s="32" t="s">
        <v>118</v>
      </c>
      <c r="C15" s="41">
        <v>0.11899999999999999</v>
      </c>
      <c r="D15" s="32" t="s">
        <v>187</v>
      </c>
      <c r="G15" s="32"/>
      <c r="H15" s="32"/>
      <c r="I15" s="32"/>
      <c r="J15" s="32"/>
      <c r="K15" s="32"/>
      <c r="L15" s="32"/>
    </row>
    <row r="16" spans="1:12" x14ac:dyDescent="0.3">
      <c r="A16" s="32" t="s">
        <v>189</v>
      </c>
      <c r="B16" s="32" t="s">
        <v>26</v>
      </c>
      <c r="C16" s="32">
        <v>1000</v>
      </c>
      <c r="D16" s="32" t="s">
        <v>184</v>
      </c>
      <c r="G16" s="32"/>
      <c r="H16" s="32"/>
      <c r="I16" s="32"/>
      <c r="J16" s="32"/>
      <c r="K16" s="32"/>
      <c r="L16" s="32"/>
    </row>
    <row r="17" spans="1:9" ht="28.8" x14ac:dyDescent="0.3">
      <c r="A17" s="32" t="s">
        <v>189</v>
      </c>
      <c r="B17" s="32" t="s">
        <v>190</v>
      </c>
      <c r="C17" s="32">
        <v>2000</v>
      </c>
      <c r="D17" s="32" t="s">
        <v>184</v>
      </c>
    </row>
    <row r="25" spans="1:9" ht="18" x14ac:dyDescent="0.3">
      <c r="A25" s="30"/>
    </row>
    <row r="27" spans="1:9" x14ac:dyDescent="0.3">
      <c r="A27" s="31"/>
      <c r="B27" s="31"/>
      <c r="C27" s="31"/>
      <c r="D27" s="31"/>
      <c r="E27" s="31"/>
      <c r="F27" s="31"/>
      <c r="G27" s="31"/>
      <c r="H27" s="31"/>
      <c r="I27" s="31"/>
    </row>
    <row r="28" spans="1:9" x14ac:dyDescent="0.3">
      <c r="A28" s="32"/>
      <c r="B28" s="32"/>
      <c r="C28" s="32"/>
      <c r="D28" s="32"/>
      <c r="E28" s="32"/>
      <c r="F28" s="32"/>
      <c r="G28" s="32"/>
      <c r="H28" s="32"/>
      <c r="I28" s="41"/>
    </row>
    <row r="29" spans="1:9" x14ac:dyDescent="0.3">
      <c r="A29" s="32"/>
      <c r="B29" s="32"/>
      <c r="C29" s="32"/>
      <c r="D29" s="32"/>
      <c r="E29" s="32"/>
      <c r="F29" s="32"/>
      <c r="G29" s="32"/>
      <c r="H29" s="32"/>
      <c r="I29" s="41"/>
    </row>
    <row r="30" spans="1:9" x14ac:dyDescent="0.3">
      <c r="A30" s="32"/>
      <c r="B30" s="32"/>
      <c r="C30" s="32"/>
      <c r="D30" s="32"/>
      <c r="E30" s="32"/>
      <c r="F30" s="32"/>
      <c r="G30" s="32"/>
      <c r="H30" s="32"/>
      <c r="I30" s="53"/>
    </row>
    <row r="31" spans="1:9" x14ac:dyDescent="0.3">
      <c r="A31" s="32"/>
      <c r="B31" s="32"/>
      <c r="C31" s="32"/>
      <c r="D31" s="32"/>
      <c r="E31" s="32"/>
      <c r="F31" s="32"/>
    </row>
    <row r="32" spans="1:9" x14ac:dyDescent="0.3">
      <c r="A32" s="32"/>
      <c r="B32" s="32"/>
      <c r="C32" s="32"/>
      <c r="D32" s="32"/>
      <c r="E32" s="32"/>
      <c r="F32" s="32"/>
    </row>
    <row r="33" spans="1:6" x14ac:dyDescent="0.3">
      <c r="A33" s="32"/>
      <c r="B33" s="32"/>
      <c r="C33" s="32"/>
      <c r="D33" s="32"/>
      <c r="E33" s="32"/>
      <c r="F33" s="32"/>
    </row>
    <row r="34" spans="1:6" x14ac:dyDescent="0.3">
      <c r="A34" s="32"/>
      <c r="B34" s="32"/>
      <c r="C34" s="32"/>
      <c r="D34" s="32"/>
      <c r="E34" s="32"/>
      <c r="F34" s="32"/>
    </row>
    <row r="35" spans="1:6" x14ac:dyDescent="0.3">
      <c r="A35" s="32"/>
      <c r="B35" s="32"/>
      <c r="C35" s="32"/>
      <c r="D35" s="32"/>
      <c r="E35" s="32"/>
      <c r="F35" s="32"/>
    </row>
    <row r="36" spans="1:6" x14ac:dyDescent="0.3">
      <c r="A36" s="32"/>
      <c r="B36" s="32"/>
      <c r="C36" s="32"/>
      <c r="D36" s="32"/>
      <c r="E36" s="32"/>
      <c r="F36" s="32"/>
    </row>
    <row r="37" spans="1:6" ht="18" x14ac:dyDescent="0.3">
      <c r="A37" s="30"/>
    </row>
    <row r="41" spans="1:6" x14ac:dyDescent="0.3">
      <c r="A41" s="31"/>
      <c r="B41" s="31"/>
      <c r="C41" s="31"/>
      <c r="D41" s="31"/>
      <c r="E41" s="31"/>
      <c r="F41" s="31"/>
    </row>
    <row r="42" spans="1:6" x14ac:dyDescent="0.3">
      <c r="A42" s="32"/>
      <c r="B42" s="41"/>
      <c r="C42" s="41"/>
      <c r="D42" s="41"/>
      <c r="E42" s="41"/>
      <c r="F42" s="41"/>
    </row>
    <row r="43" spans="1:6" x14ac:dyDescent="0.3">
      <c r="A43" s="32"/>
      <c r="B43" s="41"/>
      <c r="C43" s="41"/>
      <c r="D43" s="41"/>
      <c r="E43" s="41"/>
      <c r="F43" s="41"/>
    </row>
    <row r="44" spans="1:6" x14ac:dyDescent="0.3">
      <c r="A44" s="32"/>
      <c r="B44" s="41"/>
      <c r="C44" s="41"/>
      <c r="D44" s="41"/>
      <c r="E44" s="41"/>
      <c r="F44" s="41"/>
    </row>
    <row r="45" spans="1:6" x14ac:dyDescent="0.3">
      <c r="A45" s="32"/>
      <c r="B45" s="41"/>
      <c r="C45" s="41"/>
      <c r="D45" s="41"/>
      <c r="E45" s="41"/>
      <c r="F45" s="41"/>
    </row>
    <row r="46" spans="1:6" x14ac:dyDescent="0.3">
      <c r="A46" s="32"/>
      <c r="B46" s="41"/>
      <c r="C46" s="41"/>
      <c r="D46" s="41"/>
      <c r="E46" s="41"/>
      <c r="F46" s="41"/>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F3DFE-5AF5-4D04-A4B4-A95A10C97936}">
  <dimension ref="A1:F15"/>
  <sheetViews>
    <sheetView workbookViewId="0">
      <selection activeCell="J8" sqref="J8"/>
    </sheetView>
  </sheetViews>
  <sheetFormatPr defaultRowHeight="14.4" x14ac:dyDescent="0.3"/>
  <cols>
    <col min="1" max="1" width="30.5546875" bestFit="1" customWidth="1"/>
    <col min="2" max="6" width="10.77734375" bestFit="1" customWidth="1"/>
  </cols>
  <sheetData>
    <row r="1" spans="1:6" ht="18" x14ac:dyDescent="0.3">
      <c r="A1" s="30" t="s">
        <v>195</v>
      </c>
      <c r="B1" t="s">
        <v>191</v>
      </c>
      <c r="C1" t="s">
        <v>192</v>
      </c>
      <c r="D1" t="s">
        <v>193</v>
      </c>
      <c r="E1" t="s">
        <v>194</v>
      </c>
      <c r="F1" t="s">
        <v>205</v>
      </c>
    </row>
    <row r="3" spans="1:6" ht="43.2" x14ac:dyDescent="0.3">
      <c r="A3" s="31" t="s">
        <v>196</v>
      </c>
      <c r="B3" s="31" t="s">
        <v>197</v>
      </c>
      <c r="C3" s="31" t="s">
        <v>198</v>
      </c>
      <c r="D3" s="31" t="s">
        <v>199</v>
      </c>
      <c r="E3" s="31" t="s">
        <v>200</v>
      </c>
      <c r="F3" s="31" t="s">
        <v>201</v>
      </c>
    </row>
    <row r="4" spans="1:6" ht="28.8" x14ac:dyDescent="0.3">
      <c r="A4" s="32" t="s">
        <v>6</v>
      </c>
      <c r="B4" s="32" t="s">
        <v>32</v>
      </c>
      <c r="C4" s="32" t="s">
        <v>202</v>
      </c>
      <c r="D4" s="32">
        <v>285640</v>
      </c>
      <c r="E4" s="32">
        <v>23040</v>
      </c>
      <c r="F4" s="32">
        <v>5.39</v>
      </c>
    </row>
    <row r="5" spans="1:6" ht="28.8" x14ac:dyDescent="0.3">
      <c r="A5" s="32" t="s">
        <v>6</v>
      </c>
      <c r="B5" s="32" t="s">
        <v>33</v>
      </c>
      <c r="C5" s="32" t="s">
        <v>202</v>
      </c>
      <c r="D5" s="32">
        <v>413680</v>
      </c>
      <c r="E5" s="32">
        <v>55740</v>
      </c>
      <c r="F5" s="32">
        <v>13.26</v>
      </c>
    </row>
    <row r="6" spans="1:6" ht="28.8" x14ac:dyDescent="0.3">
      <c r="A6" s="32" t="s">
        <v>6</v>
      </c>
      <c r="B6" s="32" t="s">
        <v>34</v>
      </c>
      <c r="C6" s="32" t="s">
        <v>202</v>
      </c>
      <c r="D6" s="32">
        <v>344582</v>
      </c>
      <c r="E6" s="32">
        <v>36010</v>
      </c>
      <c r="F6" s="32">
        <v>8.89</v>
      </c>
    </row>
    <row r="7" spans="1:6" ht="28.8" x14ac:dyDescent="0.3">
      <c r="A7" s="32" t="s">
        <v>6</v>
      </c>
      <c r="B7" s="32" t="s">
        <v>35</v>
      </c>
      <c r="C7" s="32" t="s">
        <v>203</v>
      </c>
      <c r="D7" s="32">
        <v>351473.6</v>
      </c>
      <c r="E7" s="32">
        <v>36702.400000000001</v>
      </c>
      <c r="F7" s="32">
        <v>9.24</v>
      </c>
    </row>
    <row r="8" spans="1:6" ht="28.8" x14ac:dyDescent="0.3">
      <c r="A8" s="32" t="s">
        <v>6</v>
      </c>
      <c r="B8" s="32" t="s">
        <v>36</v>
      </c>
      <c r="C8" s="32" t="s">
        <v>203</v>
      </c>
      <c r="D8" s="32">
        <v>358503.1</v>
      </c>
      <c r="E8" s="32">
        <v>37436.400000000001</v>
      </c>
      <c r="F8" s="32">
        <v>9.6199999999999992</v>
      </c>
    </row>
    <row r="9" spans="1:6" ht="28.8" x14ac:dyDescent="0.3">
      <c r="A9" s="32" t="s">
        <v>6</v>
      </c>
      <c r="B9" s="32" t="s">
        <v>37</v>
      </c>
      <c r="C9" s="32" t="s">
        <v>203</v>
      </c>
      <c r="D9" s="32">
        <v>365673.2</v>
      </c>
      <c r="E9" s="32">
        <v>38185.199999999997</v>
      </c>
      <c r="F9" s="32">
        <v>10.01</v>
      </c>
    </row>
    <row r="10" spans="1:6" x14ac:dyDescent="0.3">
      <c r="A10" s="32" t="s">
        <v>204</v>
      </c>
      <c r="B10" s="32" t="s">
        <v>32</v>
      </c>
      <c r="C10" s="32" t="s">
        <v>202</v>
      </c>
      <c r="D10" s="32">
        <v>14643</v>
      </c>
      <c r="E10" s="32">
        <v>2118</v>
      </c>
      <c r="F10" s="32">
        <v>8.61</v>
      </c>
    </row>
    <row r="11" spans="1:6" x14ac:dyDescent="0.3">
      <c r="A11" s="32" t="s">
        <v>204</v>
      </c>
      <c r="B11" s="32" t="s">
        <v>33</v>
      </c>
      <c r="C11" s="32" t="s">
        <v>202</v>
      </c>
      <c r="D11" s="32">
        <v>24294</v>
      </c>
      <c r="E11" s="32">
        <v>7845</v>
      </c>
      <c r="F11" s="32">
        <v>31.13</v>
      </c>
    </row>
    <row r="12" spans="1:6" x14ac:dyDescent="0.3">
      <c r="A12" s="32" t="s">
        <v>204</v>
      </c>
      <c r="B12" s="32" t="s">
        <v>34</v>
      </c>
      <c r="C12" s="32" t="s">
        <v>202</v>
      </c>
      <c r="D12" s="32">
        <v>19362</v>
      </c>
      <c r="E12" s="32">
        <v>4894</v>
      </c>
      <c r="F12" s="32">
        <v>20.21</v>
      </c>
    </row>
    <row r="13" spans="1:6" x14ac:dyDescent="0.3">
      <c r="A13" s="32" t="s">
        <v>204</v>
      </c>
      <c r="B13" s="32" t="s">
        <v>35</v>
      </c>
      <c r="C13" s="32" t="s">
        <v>203</v>
      </c>
      <c r="D13" s="32">
        <v>22092</v>
      </c>
      <c r="E13" s="32">
        <v>6279.2</v>
      </c>
      <c r="F13" s="32">
        <v>26.75</v>
      </c>
    </row>
    <row r="14" spans="1:6" x14ac:dyDescent="0.3">
      <c r="A14" s="32" t="s">
        <v>204</v>
      </c>
      <c r="B14" s="32" t="s">
        <v>36</v>
      </c>
      <c r="C14" s="32" t="s">
        <v>203</v>
      </c>
      <c r="D14" s="32">
        <v>21628.1</v>
      </c>
      <c r="E14" s="32">
        <v>5859.4</v>
      </c>
      <c r="F14" s="32">
        <v>24.96</v>
      </c>
    </row>
    <row r="15" spans="1:6" x14ac:dyDescent="0.3">
      <c r="A15" s="32" t="s">
        <v>204</v>
      </c>
      <c r="B15" s="32" t="s">
        <v>37</v>
      </c>
      <c r="C15" s="32" t="s">
        <v>203</v>
      </c>
      <c r="D15" s="32">
        <v>21476.7</v>
      </c>
      <c r="E15" s="32">
        <v>5532.6</v>
      </c>
      <c r="F15" s="32">
        <v>23.57</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BC58E-500E-4ACE-9720-51EECB5A67B2}">
  <dimension ref="A1:I6"/>
  <sheetViews>
    <sheetView workbookViewId="0">
      <selection activeCell="J17" sqref="J17"/>
    </sheetView>
  </sheetViews>
  <sheetFormatPr defaultRowHeight="14.4" x14ac:dyDescent="0.3"/>
  <cols>
    <col min="1" max="1" width="26.109375" bestFit="1" customWidth="1"/>
    <col min="2" max="9" width="10.77734375" bestFit="1" customWidth="1"/>
  </cols>
  <sheetData>
    <row r="1" spans="1:9" ht="18" x14ac:dyDescent="0.3">
      <c r="A1" s="30" t="s">
        <v>206</v>
      </c>
      <c r="B1" t="s">
        <v>191</v>
      </c>
      <c r="C1" t="s">
        <v>192</v>
      </c>
      <c r="D1" t="s">
        <v>193</v>
      </c>
      <c r="E1" t="s">
        <v>194</v>
      </c>
      <c r="F1" t="s">
        <v>205</v>
      </c>
      <c r="G1" t="s">
        <v>215</v>
      </c>
      <c r="H1" t="s">
        <v>216</v>
      </c>
      <c r="I1" t="s">
        <v>217</v>
      </c>
    </row>
    <row r="3" spans="1:9" ht="43.2" x14ac:dyDescent="0.3">
      <c r="A3" s="31" t="s">
        <v>197</v>
      </c>
      <c r="B3" s="31" t="s">
        <v>207</v>
      </c>
      <c r="C3" s="31" t="s">
        <v>208</v>
      </c>
      <c r="D3" s="31" t="s">
        <v>209</v>
      </c>
      <c r="E3" s="31" t="s">
        <v>210</v>
      </c>
      <c r="F3" s="31" t="s">
        <v>211</v>
      </c>
      <c r="G3" s="31" t="s">
        <v>212</v>
      </c>
      <c r="H3" s="31" t="s">
        <v>213</v>
      </c>
      <c r="I3" s="31" t="s">
        <v>214</v>
      </c>
    </row>
    <row r="4" spans="1:9" x14ac:dyDescent="0.3">
      <c r="A4" s="32" t="s">
        <v>35</v>
      </c>
      <c r="B4" s="32">
        <v>36702.400000000001</v>
      </c>
      <c r="C4" s="32">
        <v>6279.2</v>
      </c>
      <c r="D4" s="32">
        <v>0</v>
      </c>
      <c r="E4" s="32">
        <v>0</v>
      </c>
      <c r="F4" s="32">
        <v>42981.599999999999</v>
      </c>
      <c r="G4" s="32">
        <v>9.24</v>
      </c>
      <c r="H4" s="32">
        <v>9.52</v>
      </c>
      <c r="I4" s="41">
        <v>2.9700000000000001E-2</v>
      </c>
    </row>
    <row r="5" spans="1:9" x14ac:dyDescent="0.3">
      <c r="A5" s="32" t="s">
        <v>36</v>
      </c>
      <c r="B5" s="32">
        <v>37436.400000000001</v>
      </c>
      <c r="C5" s="32">
        <v>5859.4</v>
      </c>
      <c r="D5" s="32">
        <v>500</v>
      </c>
      <c r="E5" s="32">
        <v>354</v>
      </c>
      <c r="F5" s="32">
        <v>43649.9</v>
      </c>
      <c r="G5" s="32">
        <v>9.6199999999999992</v>
      </c>
      <c r="H5" s="32">
        <v>9.84</v>
      </c>
      <c r="I5" s="41">
        <v>2.2599999999999999E-2</v>
      </c>
    </row>
    <row r="6" spans="1:9" x14ac:dyDescent="0.3">
      <c r="A6" s="32" t="s">
        <v>37</v>
      </c>
      <c r="B6" s="32">
        <v>38185.199999999997</v>
      </c>
      <c r="C6" s="32">
        <v>5532.6</v>
      </c>
      <c r="D6" s="32">
        <v>1000</v>
      </c>
      <c r="E6" s="32">
        <v>708</v>
      </c>
      <c r="F6" s="32">
        <v>44425.7</v>
      </c>
      <c r="G6" s="32">
        <v>10.01</v>
      </c>
      <c r="H6" s="32">
        <v>10.19</v>
      </c>
      <c r="I6" s="53">
        <v>1.7899999999999999E-2</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0AC9C-ECCD-42CE-A423-8D5664C16C2B}">
  <dimension ref="A3:F12"/>
  <sheetViews>
    <sheetView tabSelected="1" workbookViewId="0">
      <selection activeCell="C26" sqref="C26"/>
    </sheetView>
  </sheetViews>
  <sheetFormatPr defaultRowHeight="14.4" x14ac:dyDescent="0.3"/>
  <cols>
    <col min="1" max="1" width="45.21875" bestFit="1" customWidth="1"/>
    <col min="2" max="6" width="10.77734375" bestFit="1" customWidth="1"/>
  </cols>
  <sheetData>
    <row r="3" spans="1:6" ht="18" x14ac:dyDescent="0.3">
      <c r="A3" s="30" t="s">
        <v>225</v>
      </c>
      <c r="B3" t="s">
        <v>191</v>
      </c>
      <c r="C3" t="s">
        <v>192</v>
      </c>
      <c r="D3" t="s">
        <v>193</v>
      </c>
      <c r="E3" t="s">
        <v>194</v>
      </c>
      <c r="F3" t="s">
        <v>205</v>
      </c>
    </row>
    <row r="5" spans="1:6" x14ac:dyDescent="0.3">
      <c r="A5" t="s">
        <v>218</v>
      </c>
    </row>
    <row r="7" spans="1:6" ht="57.6" x14ac:dyDescent="0.3">
      <c r="A7" s="31" t="s">
        <v>219</v>
      </c>
      <c r="B7" s="31" t="s">
        <v>220</v>
      </c>
      <c r="C7" s="31" t="s">
        <v>221</v>
      </c>
      <c r="D7" s="31" t="s">
        <v>222</v>
      </c>
      <c r="E7" s="31" t="s">
        <v>223</v>
      </c>
      <c r="F7" s="31" t="s">
        <v>224</v>
      </c>
    </row>
    <row r="8" spans="1:6" x14ac:dyDescent="0.3">
      <c r="A8" s="32">
        <v>4426.1000000000004</v>
      </c>
      <c r="B8" s="41">
        <v>-2.3699999999999999E-2</v>
      </c>
      <c r="C8" s="41">
        <v>-1.55E-2</v>
      </c>
      <c r="D8" s="41">
        <v>-7.4000000000000003E-3</v>
      </c>
      <c r="E8" s="41">
        <v>6.9999999999999999E-4</v>
      </c>
      <c r="F8" s="41">
        <v>8.8000000000000005E-3</v>
      </c>
    </row>
    <row r="9" spans="1:6" x14ac:dyDescent="0.3">
      <c r="A9" s="32">
        <v>4979.3</v>
      </c>
      <c r="B9" s="41">
        <v>-1.0999999999999999E-2</v>
      </c>
      <c r="C9" s="41">
        <v>-2.8999999999999998E-3</v>
      </c>
      <c r="D9" s="41">
        <v>5.1999999999999998E-3</v>
      </c>
      <c r="E9" s="41">
        <v>1.34E-2</v>
      </c>
      <c r="F9" s="41">
        <v>2.1499999999999998E-2</v>
      </c>
    </row>
    <row r="10" spans="1:6" x14ac:dyDescent="0.3">
      <c r="A10" s="32">
        <v>5532.6</v>
      </c>
      <c r="B10" s="41">
        <v>1.6999999999999999E-3</v>
      </c>
      <c r="C10" s="41">
        <v>9.7999999999999997E-3</v>
      </c>
      <c r="D10" s="41">
        <v>1.7899999999999999E-2</v>
      </c>
      <c r="E10" s="41">
        <v>2.5999999999999999E-2</v>
      </c>
      <c r="F10" s="41">
        <v>3.4099999999999998E-2</v>
      </c>
    </row>
    <row r="11" spans="1:6" x14ac:dyDescent="0.3">
      <c r="A11" s="32">
        <v>6085.9</v>
      </c>
      <c r="B11" s="41">
        <v>1.44E-2</v>
      </c>
      <c r="C11" s="41">
        <v>2.2499999999999999E-2</v>
      </c>
      <c r="D11" s="41">
        <v>3.0599999999999999E-2</v>
      </c>
      <c r="E11" s="41">
        <v>3.8699999999999998E-2</v>
      </c>
      <c r="F11" s="41">
        <v>4.6800000000000001E-2</v>
      </c>
    </row>
    <row r="12" spans="1:6" x14ac:dyDescent="0.3">
      <c r="A12" s="32">
        <v>6639.1</v>
      </c>
      <c r="B12" s="41">
        <v>2.7099999999999999E-2</v>
      </c>
      <c r="C12" s="41">
        <v>3.5200000000000002E-2</v>
      </c>
      <c r="D12" s="41">
        <v>4.3299999999999998E-2</v>
      </c>
      <c r="E12" s="41">
        <v>5.1400000000000001E-2</v>
      </c>
      <c r="F12" s="41">
        <v>5.9499999999999997E-2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Cover </vt:lpstr>
      <vt:lpstr>Transaction Assumptions</vt:lpstr>
      <vt:lpstr>ExxonMobil Financials</vt:lpstr>
      <vt:lpstr>Pioneer Financials</vt:lpstr>
      <vt:lpstr>Accretion Dilution Analysis</vt:lpstr>
      <vt:lpstr>Accretion Dilution Sensitivity</vt:lpstr>
      <vt:lpstr>Executive Summary 1</vt:lpstr>
      <vt:lpstr>Executive Summary 2</vt:lpstr>
      <vt:lpstr>Power Bi Dashboard 1</vt:lpstr>
      <vt:lpstr>Power Bi DashBoard 2</vt:lpstr>
      <vt:lpstr>Power Bi Dashboard 3</vt:lpstr>
      <vt:lpstr>Power Bi Dashboard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hilal berhe</dc:creator>
  <cp:lastModifiedBy>hilal berhe</cp:lastModifiedBy>
  <dcterms:created xsi:type="dcterms:W3CDTF">2026-07-16T14:37:55Z</dcterms:created>
  <dcterms:modified xsi:type="dcterms:W3CDTF">2026-08-08T20:26:41Z</dcterms:modified>
</cp:coreProperties>
</file>